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5840" windowHeight="20400"/>
  </bookViews>
  <sheets>
    <sheet sheetId="1" name="Front Sheet" state="visible" r:id="rId4"/>
    <sheet sheetId="2" name="Sold Stock" state="visible" r:id="rId5"/>
    <sheet sheetId="3" name="Stock Data" state="visible" r:id="rId6"/>
    <sheet sheetId="4" name="Collection" state="visible" r:id="rId7"/>
    <sheet sheetId="5" name="Investor Budget" state="visible" r:id="rId8"/>
    <sheet sheetId="6" name="SOR" state="visible" r:id="rId9"/>
    <sheet sheetId="7" name="Investor Car Expense" state="visible" r:id="rId10"/>
    <sheet sheetId="8" name="Expense" state="visible" r:id="rId11"/>
    <sheet sheetId="9" name="Fuel Expense" state="visible" r:id="rId12"/>
    <sheet sheetId="10" name="Money in" state="visible" r:id="rId13"/>
    <sheet sheetId="11" name="Cash Spending" state="visible" r:id="rId14"/>
    <sheet sheetId="12" name="Money Out" state="visible" r:id="rId15"/>
    <sheet sheetId="13" name="Kia Sportage ML20 YZW" state="visible" r:id="rId16"/>
    <sheet sheetId="14" name="520D M Sport RJ65 VVN" state="visible" r:id="rId17"/>
    <sheet sheetId="15" name="520D Lux NG64 EOH" state="visible" r:id="rId18"/>
    <sheet sheetId="16" name="A6 YY62 XJW" state="visible" r:id="rId19"/>
    <sheet sheetId="17" name="A6 Allroad DL15 WDA " state="visible" r:id="rId20"/>
    <sheet sheetId="18" name="A3 E-Tron KM64 XCX" state="visible" r:id="rId21"/>
    <sheet sheetId="19" name="Audi A6 VE16 TNO" state="visible" r:id="rId22"/>
    <sheet sheetId="20" name="CLA Estate YR16 XCB" state="visible" r:id="rId23"/>
    <sheet sheetId="21" name="Smart X65 YJL" state="visible" r:id="rId24"/>
    <sheet sheetId="22" name="Kuga EJ68 WVM" state="visible" r:id="rId25"/>
    <sheet sheetId="23" name="LY18 ZDV A200D" state="visible" r:id="rId26"/>
    <sheet sheetId="24" name="Merc C220D SE66 OFZ" state="visible" r:id="rId27"/>
    <sheet sheetId="25" name="Mazda CX3 AY17 YWX" state="visible" r:id="rId28"/>
    <sheet sheetId="26" name="Mazda 3 FY67 WDE" state="visible" r:id="rId29"/>
    <sheet sheetId="27" name="CLA 200 WU66 MJX" state="visible" r:id="rId30"/>
    <sheet sheetId="28" name="BMW 330E RX67 WPN" state="visible" r:id="rId31"/>
    <sheet sheetId="29" name="CLA 220 KU67 PWY" state="visible" r:id="rId32"/>
    <sheet sheetId="30" name="Audi A4 BG63 VYM" state="visible" r:id="rId33"/>
    <sheet sheetId="31" name="520D CF15 OWA" state="visible" r:id="rId34"/>
    <sheet sheetId="32" name="520D YK66 DWU" state="visible" r:id="rId35"/>
    <sheet sheetId="33" name="Mazda CX5 EJ14 PTX" state="visible" r:id="rId36"/>
    <sheet sheetId="34" name="520D SA14 SYO" state="visible" r:id="rId37"/>
    <sheet sheetId="35" name="Q5 KM62 XFN" state="visible" r:id="rId38"/>
    <sheet sheetId="36" name="Merc C200 HF64 PLZ" state="visible" r:id="rId39"/>
    <sheet sheetId="37" name="A5 LJ13 UAC" state="visible" r:id="rId40"/>
    <sheet sheetId="38" name="Golf R VX16 XJU" state="visible" r:id="rId41"/>
    <sheet sheetId="39" name="Passat PL18 KLM" state="visible" r:id="rId42"/>
    <sheet sheetId="40" name="A6 DN14 WEP" state="visible" r:id="rId43"/>
    <sheet sheetId="41" name="C Class BJ64 OSE" state="visible" r:id="rId44"/>
    <sheet sheetId="42" name="Mazda 6 WA13XCV" state="visible" r:id="rId45"/>
    <sheet sheetId="43" name="POLO GTI BK61 SWZ" state="visible" r:id="rId46"/>
    <sheet sheetId="44" name="GOLF RJ14 YZN" state="visible" r:id="rId47"/>
    <sheet sheetId="45" name="CLA FV14 MYL" state="visible" r:id="rId48"/>
    <sheet sheetId="46" name="Fiesta FN62HKO" state="visible" r:id="rId49"/>
    <sheet sheetId="47" name="Polo GTI VK62 THV" state="visible" r:id="rId50"/>
    <sheet sheetId="48" name="Corsa YY65 CAU" state="visible" r:id="rId51"/>
    <sheet sheetId="49" name="P2008 LS66 SVA" state="visible" r:id="rId52"/>
    <sheet sheetId="50" name="BMW 318D S88 RDF" state="visible" r:id="rId53"/>
    <sheet sheetId="51" name="P3008 MF15 OPJ" state="visible" r:id="rId54"/>
    <sheet sheetId="52" name="Audi A1 EN63 TKA " state="visible" r:id="rId55"/>
    <sheet sheetId="53" name="A5 WJ62 UVS" state="visible" r:id="rId56"/>
    <sheet sheetId="54" name="Fabia GN66 YWZ PX" state="visible" r:id="rId57"/>
    <sheet sheetId="55" name="Mokka LS13 UKA" state="visible" r:id="rId58"/>
    <sheet sheetId="56" name="BMW 328i YB61" state="visible" r:id="rId59"/>
    <sheet sheetId="57" name="Peugeot 2008 EU14" state="visible" r:id="rId60"/>
    <sheet sheetId="58" name="BMW 518D PG66" state="visible" r:id="rId61"/>
    <sheet sheetId="59" name="Ford Mondeo DG68" state="visible" r:id="rId62"/>
    <sheet sheetId="60" name="Smart Premium SR16 HKT" state="visible" r:id="rId63"/>
    <sheet sheetId="61" name="BMW 120D PE65 LXZ" state="visible" r:id="rId64"/>
    <sheet sheetId="62" name="Suzuki Swift YB68 XYT" state="visible" r:id="rId65"/>
    <sheet sheetId="63" name="Octavia VRS GY14 BZC" state="visible" r:id="rId66"/>
    <sheet sheetId="64" name="BMW 520D EJ14" state="visible" r:id="rId67"/>
    <sheet sheetId="65" name="Mitsubishi DN16 YXF" state="visible" r:id="rId68"/>
    <sheet sheetId="66" name="Fiat 500 LK15" state="visible" r:id="rId69"/>
    <sheet sheetId="67" name="Audi A3 LG61 RTV" state="visible" r:id="rId70"/>
    <sheet sheetId="68" name="Audi A7 OV61 WKH" state="visible" r:id="rId71"/>
    <sheet sheetId="69" name="Fiat 500 LM64 FWU" state="visible" r:id="rId72"/>
    <sheet sheetId="70" name="Polo GT CV65" state="visible" r:id="rId73"/>
    <sheet sheetId="71" name="Nissan Note RV62 UMD" state="visible" r:id="rId74"/>
    <sheet sheetId="72" name="BMW GT SV63 KKO" state="visible" r:id="rId75"/>
    <sheet sheetId="73" name="BMW SX14 KKH" state="visible" r:id="rId76"/>
    <sheet sheetId="74" name="Polo CY64 ACO" state="visible" r:id="rId77"/>
    <sheet sheetId="75" name="Audi A3 HG08 EPZ" state="visible" r:id="rId78"/>
    <sheet sheetId="76" name="Mazda 6" state="visible" r:id="rId79"/>
    <sheet sheetId="77" name="Honda CRV KU13 FBF" state="visible" r:id="rId80"/>
    <sheet sheetId="78" name="Audi A4 YB15GRU" state="visible" r:id="rId81"/>
    <sheet sheetId="79" name="Polo MF14 TUH" state="visible" r:id="rId82"/>
    <sheet sheetId="80" name="Jaguar XF OY61 UTH" state="visible" r:id="rId83"/>
    <sheet sheetId="81" name="Peugot 107 LN11 " state="visible" r:id="rId84"/>
    <sheet sheetId="82" name="Polo BlueGT CE65 MJJ" state="visible" r:id="rId85"/>
    <sheet sheetId="83" name="Golf Match LR15 EUT" state="visible" r:id="rId86"/>
    <sheet sheetId="84" name="Kuga VX15 DYU" state="visible" r:id="rId87"/>
    <sheet sheetId="85" name="Fiat 500 CX14 PVO" state="visible" r:id="rId88"/>
    <sheet sheetId="86" name="Fiat 500 YB65 XPP" state="visible" r:id="rId89"/>
    <sheet sheetId="87" name="Audi S5 SP08 KLX " state="visible" r:id="rId90"/>
    <sheet sheetId="88" name="Audi A5 ET65 BWO" state="visible" r:id="rId91"/>
    <sheet sheetId="89" name="Nissan Juke PK64 LRL" state="visible" r:id="rId92"/>
    <sheet sheetId="90" name="Fiat 500 WM63 XCE Grey" state="visible" r:id="rId93"/>
    <sheet sheetId="91" name="Nissan Micra NL55 YXG" state="visible" r:id="rId94"/>
    <sheet sheetId="92" name="Polo HG57" state="visible" r:id="rId95"/>
    <sheet sheetId="93" name="Volkswagen Polo JFZ 1824" state="visible" r:id="rId96"/>
    <sheet sheetId="94" name="Smart Fortwo YT63 ENJ (B)" state="visible" r:id="rId97"/>
    <sheet sheetId="95" name="Nissan Qashqai KM17 YTV" state="visible" r:id="rId98"/>
    <sheet sheetId="96" name="Audi A1 EJ11" state="visible" r:id="rId99"/>
    <sheet sheetId="97" name="Audi A1 MF12" state="visible" r:id="rId100"/>
    <sheet sheetId="98" name="Ford Fiesta EA65 NDL" state="visible" r:id="rId101"/>
    <sheet sheetId="99" name="Nissan Navara WD63 NXU" state="visible" r:id="rId102"/>
    <sheet sheetId="100" name="Ford Fiesta MK59 FUV" state="visible" r:id="rId103"/>
    <sheet sheetId="101" name="Nissan Note HY10 RRO" state="visible" r:id="rId104"/>
    <sheet sheetId="102" name="Fiat 500 DP64CXV White" state="visible" r:id="rId105"/>
  </sheets>
  <definedNames>
    <definedName name="_xlnm._FilterDatabase">SOR!$H$1</definedName>
  </definedNames>
  <calcPr calcId="171027"/>
</workbook>
</file>

<file path=xl/sharedStrings.xml><?xml version="1.0" encoding="utf-8"?>
<sst xmlns="http://schemas.openxmlformats.org/spreadsheetml/2006/main" count="12143" uniqueCount="1087">
  <si>
    <t>Month</t>
  </si>
  <si>
    <t>Cars Sold</t>
  </si>
  <si>
    <t>Total Revenue</t>
  </si>
  <si>
    <t>Total Gross Profit</t>
  </si>
  <si>
    <t>Company Expenses</t>
  </si>
  <si>
    <t>Total SA Gross Profit</t>
  </si>
  <si>
    <t>Investor Net Profit</t>
  </si>
  <si>
    <t>Investor Expense</t>
  </si>
  <si>
    <t>Company Fuel Costs</t>
  </si>
  <si>
    <t>Other Money In</t>
  </si>
  <si>
    <t>Other Money Out</t>
  </si>
  <si>
    <t>Net Profit Exc Investor</t>
  </si>
  <si>
    <t>Net Exc Investor</t>
  </si>
  <si>
    <t>Notes</t>
  </si>
  <si>
    <t>No Investors</t>
  </si>
  <si>
    <t>Moved to New Unit</t>
  </si>
  <si>
    <t>New Office Container Purchased + Upgraded Unit</t>
  </si>
  <si>
    <t>Obtained Motor Trade Insurance</t>
  </si>
  <si>
    <t>10</t>
  </si>
  <si>
    <t>Upgraded AutoTrader Package To List More Vehicles</t>
  </si>
  <si>
    <t>Accepted Mostly PX Vehicles. Profit Expected In Upcoming Months</t>
  </si>
  <si>
    <t>16</t>
  </si>
  <si>
    <t>7</t>
  </si>
  <si>
    <t>TOTAL</t>
  </si>
  <si>
    <t>Date Aquired</t>
  </si>
  <si>
    <t>Number Plate reference</t>
  </si>
  <si>
    <t>Make &amp; Model</t>
  </si>
  <si>
    <t>SA/Investor Name</t>
  </si>
  <si>
    <t>Total Cost</t>
  </si>
  <si>
    <t>Sold</t>
  </si>
  <si>
    <t>Part Ex</t>
  </si>
  <si>
    <t>SA/Investor Profit Share</t>
  </si>
  <si>
    <t>Total Profit</t>
  </si>
  <si>
    <t>Investor Profit</t>
  </si>
  <si>
    <t>SA Profit</t>
  </si>
  <si>
    <t>Date Listed</t>
  </si>
  <si>
    <t>Date Sold</t>
  </si>
  <si>
    <t>Days to Sell</t>
  </si>
  <si>
    <t>Platfrom</t>
  </si>
  <si>
    <t>Invoice Number</t>
  </si>
  <si>
    <t>Customer Name</t>
  </si>
  <si>
    <t>Contact info</t>
  </si>
  <si>
    <t>Warranty</t>
  </si>
  <si>
    <t>AutoGuard Number</t>
  </si>
  <si>
    <t>YD62URJ</t>
  </si>
  <si>
    <t>Suzuki SX4</t>
  </si>
  <si>
    <t>AK09RLY</t>
  </si>
  <si>
    <t>Golf S</t>
  </si>
  <si>
    <t>GP57PNX</t>
  </si>
  <si>
    <t>BMW 320i</t>
  </si>
  <si>
    <t>GJ07OXN</t>
  </si>
  <si>
    <t>Golf GTI</t>
  </si>
  <si>
    <t>CJ17YNK</t>
  </si>
  <si>
    <t xml:space="preserve">Astra Estate </t>
  </si>
  <si>
    <t>EA61BJU</t>
  </si>
  <si>
    <t>Citroen C1</t>
  </si>
  <si>
    <t>EO20LVT</t>
  </si>
  <si>
    <t>Toyota Aygo</t>
  </si>
  <si>
    <t>LS60HBC</t>
  </si>
  <si>
    <t>Golf Plus</t>
  </si>
  <si>
    <t>WR15UXL</t>
  </si>
  <si>
    <t>Nissan Pulsar</t>
  </si>
  <si>
    <t>DL68YFF</t>
  </si>
  <si>
    <t>Astra Turbo SRI</t>
  </si>
  <si>
    <t>KA07DWN</t>
  </si>
  <si>
    <t>Seat Ibiza</t>
  </si>
  <si>
    <t>FL11LXD</t>
  </si>
  <si>
    <t>Peugeot 207</t>
  </si>
  <si>
    <t>-</t>
  </si>
  <si>
    <t>EX59VLN</t>
  </si>
  <si>
    <t xml:space="preserve">Ford Fiesta </t>
  </si>
  <si>
    <t>YP59MOF</t>
  </si>
  <si>
    <t>Audi A3 Cabriolet</t>
  </si>
  <si>
    <t>LN06ZWP</t>
  </si>
  <si>
    <t xml:space="preserve">Ford Focus </t>
  </si>
  <si>
    <t>KF15DGE</t>
  </si>
  <si>
    <t>BMW 520d</t>
  </si>
  <si>
    <t>LD12RHX</t>
  </si>
  <si>
    <t>Ford Fiesta</t>
  </si>
  <si>
    <t>1st September 2025</t>
  </si>
  <si>
    <t>MK11TNN</t>
  </si>
  <si>
    <t>Skoda Fabia VRS</t>
  </si>
  <si>
    <t>8th September 2025</t>
  </si>
  <si>
    <t>EA56UEC</t>
  </si>
  <si>
    <t>12th September 2025</t>
  </si>
  <si>
    <t>SY09VRT</t>
  </si>
  <si>
    <t>Volkswagen Polo</t>
  </si>
  <si>
    <t>19th September 2025</t>
  </si>
  <si>
    <t>AE13WEK</t>
  </si>
  <si>
    <t>SY13KJZ</t>
  </si>
  <si>
    <t>Volkswagen Up</t>
  </si>
  <si>
    <t>LV61VLG</t>
  </si>
  <si>
    <t>Kia Venga</t>
  </si>
  <si>
    <t>YT58ERZ</t>
  </si>
  <si>
    <t>Smart</t>
  </si>
  <si>
    <t>YF07NMK</t>
  </si>
  <si>
    <t>Pegeout 207</t>
  </si>
  <si>
    <t>EO06 TKF</t>
  </si>
  <si>
    <t>Ford Focus</t>
  </si>
  <si>
    <t>MT07 NYY</t>
  </si>
  <si>
    <t xml:space="preserve">Honda CR-V </t>
  </si>
  <si>
    <t>MA58 KUW</t>
  </si>
  <si>
    <t>Honda Jazz</t>
  </si>
  <si>
    <t>MJ62 JKN</t>
  </si>
  <si>
    <t>BD66AOL</t>
  </si>
  <si>
    <t>Ford C-Max</t>
  </si>
  <si>
    <t>Leonardo</t>
  </si>
  <si>
    <t>SA</t>
  </si>
  <si>
    <t>MM17 XOZ</t>
  </si>
  <si>
    <t xml:space="preserve">Nissan Leaf </t>
  </si>
  <si>
    <t>Jeff</t>
  </si>
  <si>
    <t>60/40</t>
  </si>
  <si>
    <t>DV62 OYH</t>
  </si>
  <si>
    <t>James</t>
  </si>
  <si>
    <t>50/50</t>
  </si>
  <si>
    <t>MJ15 EFS</t>
  </si>
  <si>
    <t>KU11 GRZ</t>
  </si>
  <si>
    <t>Golf HG57</t>
  </si>
  <si>
    <t>HY10 RRO</t>
  </si>
  <si>
    <t>Nissan Note</t>
  </si>
  <si>
    <t>KE65XBC</t>
  </si>
  <si>
    <t>DP64 CXV</t>
  </si>
  <si>
    <t>Fiat 500</t>
  </si>
  <si>
    <t>PK64 LRL</t>
  </si>
  <si>
    <t>Nissan Juke</t>
  </si>
  <si>
    <t>Daniel</t>
  </si>
  <si>
    <t>MK59 FUV</t>
  </si>
  <si>
    <t>ET15 BWO</t>
  </si>
  <si>
    <t>Audi A5</t>
  </si>
  <si>
    <t>Joseph</t>
  </si>
  <si>
    <t xml:space="preserve">EJ11 MYV </t>
  </si>
  <si>
    <t>Audi A1</t>
  </si>
  <si>
    <t>YT63 ENJ</t>
  </si>
  <si>
    <t xml:space="preserve">YB15 GRU </t>
  </si>
  <si>
    <t>Audi A4</t>
  </si>
  <si>
    <t>Henry</t>
  </si>
  <si>
    <t xml:space="preserve">Audi A3 </t>
  </si>
  <si>
    <t>NL55 YXG</t>
  </si>
  <si>
    <t>Nissan Micra</t>
  </si>
  <si>
    <t>EA65NDL</t>
  </si>
  <si>
    <t>Cargurus</t>
  </si>
  <si>
    <t>LR15 EUT</t>
  </si>
  <si>
    <t xml:space="preserve">Golf Match </t>
  </si>
  <si>
    <t>Autotrader</t>
  </si>
  <si>
    <t>CX14PVO</t>
  </si>
  <si>
    <t>NU65 EDH</t>
  </si>
  <si>
    <t>Mazda 6</t>
  </si>
  <si>
    <t>HG08 EPZ</t>
  </si>
  <si>
    <t>Audi A3</t>
  </si>
  <si>
    <t>LM64 FWU</t>
  </si>
  <si>
    <t>Fiat 500 Conv</t>
  </si>
  <si>
    <t>Walk-in</t>
  </si>
  <si>
    <t>LN11 ZC</t>
  </si>
  <si>
    <t>Peugeot 107</t>
  </si>
  <si>
    <t>20/12/2025</t>
  </si>
  <si>
    <t>CV65VMZ</t>
  </si>
  <si>
    <t>Polo GT</t>
  </si>
  <si>
    <t>JFZ1824</t>
  </si>
  <si>
    <t>Polo Auto</t>
  </si>
  <si>
    <t>SX14KKH</t>
  </si>
  <si>
    <t>27/12/2025</t>
  </si>
  <si>
    <t>WD63NXU</t>
  </si>
  <si>
    <t>Nissan Navara</t>
  </si>
  <si>
    <t>30/12/2025</t>
  </si>
  <si>
    <t>HG57 MDE</t>
  </si>
  <si>
    <t>VX15 DYU</t>
  </si>
  <si>
    <t>Ford Kuga</t>
  </si>
  <si>
    <t>SV63 KKO</t>
  </si>
  <si>
    <t>BMW 5 Series</t>
  </si>
  <si>
    <t>SP08 KLX</t>
  </si>
  <si>
    <t>Audi S5</t>
  </si>
  <si>
    <t>WM63 XCE</t>
  </si>
  <si>
    <t>EJ14UZC</t>
  </si>
  <si>
    <t>BMW 520D</t>
  </si>
  <si>
    <t>SR16 HKT</t>
  </si>
  <si>
    <t>Smart Premium</t>
  </si>
  <si>
    <t>MF12 NKN</t>
  </si>
  <si>
    <t>KM17 YTV</t>
  </si>
  <si>
    <t>Nissan Qashqai</t>
  </si>
  <si>
    <t>EU14 NOW</t>
  </si>
  <si>
    <t>Peugeot 2008</t>
  </si>
  <si>
    <t>CE65 MJJ</t>
  </si>
  <si>
    <t>Polo BlueGT</t>
  </si>
  <si>
    <t>GY14BZC</t>
  </si>
  <si>
    <t>Octavia VRS</t>
  </si>
  <si>
    <t>KU13 FBF</t>
  </si>
  <si>
    <t>Honda CRV</t>
  </si>
  <si>
    <t>RV62 UMD</t>
  </si>
  <si>
    <t>70/30</t>
  </si>
  <si>
    <t>MF15 OPJ</t>
  </si>
  <si>
    <t>Peugeot 3008</t>
  </si>
  <si>
    <t>EN63 TKA</t>
  </si>
  <si>
    <t>65/35</t>
  </si>
  <si>
    <t>YY65 CAU</t>
  </si>
  <si>
    <t>V Corsa</t>
  </si>
  <si>
    <t>YB65 XPP</t>
  </si>
  <si>
    <t>OY61 UTH</t>
  </si>
  <si>
    <t xml:space="preserve">Jaguar XF </t>
  </si>
  <si>
    <t>CY64 ACO</t>
  </si>
  <si>
    <t>Polo</t>
  </si>
  <si>
    <t>LS13 UKA</t>
  </si>
  <si>
    <t>Vauxhall Mokka</t>
  </si>
  <si>
    <t>28/02/26</t>
  </si>
  <si>
    <t>LG61 RTV</t>
  </si>
  <si>
    <t>03/03/2026</t>
  </si>
  <si>
    <t>PG66 HRE</t>
  </si>
  <si>
    <t>BMW 518D</t>
  </si>
  <si>
    <t>04/03/2026</t>
  </si>
  <si>
    <t>EJ14 PTX</t>
  </si>
  <si>
    <t>Mazda CX5</t>
  </si>
  <si>
    <t>07/03/2026</t>
  </si>
  <si>
    <t>FV14 MYL</t>
  </si>
  <si>
    <t>CLA</t>
  </si>
  <si>
    <t>08/03/2026</t>
  </si>
  <si>
    <t>20/02/22026</t>
  </si>
  <si>
    <t>DN14 WEP</t>
  </si>
  <si>
    <t>A6</t>
  </si>
  <si>
    <t>13/03/2026</t>
  </si>
  <si>
    <t>BJ64 OSE</t>
  </si>
  <si>
    <t>C Class</t>
  </si>
  <si>
    <t>16/03/2026</t>
  </si>
  <si>
    <t>WJ62UVS</t>
  </si>
  <si>
    <t>18/03/2026</t>
  </si>
  <si>
    <t>LJ13 UAC</t>
  </si>
  <si>
    <t>21/03/2026</t>
  </si>
  <si>
    <t>DN16 YXF</t>
  </si>
  <si>
    <t>Mitsubishi</t>
  </si>
  <si>
    <t>23/03/2026</t>
  </si>
  <si>
    <t>VK62 THV</t>
  </si>
  <si>
    <t>Polo GTI</t>
  </si>
  <si>
    <t>RX67 WPN</t>
  </si>
  <si>
    <t>BMW 330E</t>
  </si>
  <si>
    <t>SA14 SYO</t>
  </si>
  <si>
    <t>520D</t>
  </si>
  <si>
    <t>26/03/2026</t>
  </si>
  <si>
    <t>LK15 TJU</t>
  </si>
  <si>
    <t>DG68 DYY</t>
  </si>
  <si>
    <t>Ford Mondeo</t>
  </si>
  <si>
    <t>MF14 TUH</t>
  </si>
  <si>
    <t>VW Polo</t>
  </si>
  <si>
    <t>01/04/2026</t>
  </si>
  <si>
    <t>VX16 XJU</t>
  </si>
  <si>
    <t>Golf R</t>
  </si>
  <si>
    <t>02/04/2026</t>
  </si>
  <si>
    <t>RJ14 YZN</t>
  </si>
  <si>
    <t>VW Golf</t>
  </si>
  <si>
    <t>03/04/2026</t>
  </si>
  <si>
    <t>WU66 MJX</t>
  </si>
  <si>
    <t>CLA 200</t>
  </si>
  <si>
    <t>FN62 HKO</t>
  </si>
  <si>
    <t>05/04/2026</t>
  </si>
  <si>
    <t>KU67 PWY</t>
  </si>
  <si>
    <t>CLA 220</t>
  </si>
  <si>
    <t>06/04/2026</t>
  </si>
  <si>
    <t>GN66 YWZ</t>
  </si>
  <si>
    <t xml:space="preserve">Skoda Fabia  </t>
  </si>
  <si>
    <t>07/04/2027</t>
  </si>
  <si>
    <t/>
  </si>
  <si>
    <t>46057</t>
  </si>
  <si>
    <t>46065</t>
  </si>
  <si>
    <t>46000</t>
  </si>
  <si>
    <t>46060</t>
  </si>
  <si>
    <t>45989</t>
  </si>
  <si>
    <t>46055</t>
  </si>
  <si>
    <t>46031</t>
  </si>
  <si>
    <t>46054</t>
  </si>
  <si>
    <t>46050</t>
  </si>
  <si>
    <t>46053</t>
  </si>
  <si>
    <t>45965</t>
  </si>
  <si>
    <t>45975</t>
  </si>
  <si>
    <t>46047</t>
  </si>
  <si>
    <t>46045</t>
  </si>
  <si>
    <t>46039</t>
  </si>
  <si>
    <t>46038</t>
  </si>
  <si>
    <t>46036</t>
  </si>
  <si>
    <t>45991</t>
  </si>
  <si>
    <t>45990</t>
  </si>
  <si>
    <t>45988</t>
  </si>
  <si>
    <t>45983</t>
  </si>
  <si>
    <t>45980</t>
  </si>
  <si>
    <t>45976</t>
  </si>
  <si>
    <t>45974</t>
  </si>
  <si>
    <t>45860</t>
  </si>
  <si>
    <t>45967</t>
  </si>
  <si>
    <t>45966</t>
  </si>
  <si>
    <t>45864</t>
  </si>
  <si>
    <t>45906</t>
  </si>
  <si>
    <t>45862</t>
  </si>
  <si>
    <t>45901</t>
  </si>
  <si>
    <t>45836</t>
  </si>
  <si>
    <t>45894</t>
  </si>
  <si>
    <t>45846</t>
  </si>
  <si>
    <t>45892</t>
  </si>
  <si>
    <t>45798</t>
  </si>
  <si>
    <t>45881</t>
  </si>
  <si>
    <t>45813</t>
  </si>
  <si>
    <t>45865</t>
  </si>
  <si>
    <t>45815</t>
  </si>
  <si>
    <t>45859</t>
  </si>
  <si>
    <t>45847</t>
  </si>
  <si>
    <t>45858</t>
  </si>
  <si>
    <t>45843</t>
  </si>
  <si>
    <t>45856</t>
  </si>
  <si>
    <t>45855</t>
  </si>
  <si>
    <t>45804</t>
  </si>
  <si>
    <t>46085</t>
  </si>
  <si>
    <t>46007</t>
  </si>
  <si>
    <t>46022</t>
  </si>
  <si>
    <t>46077</t>
  </si>
  <si>
    <t>46121</t>
  </si>
  <si>
    <t>ML20 YZW</t>
  </si>
  <si>
    <t>Kia Sportage</t>
  </si>
  <si>
    <t>2026-04-15</t>
  </si>
  <si>
    <t>46073</t>
  </si>
  <si>
    <t>46062</t>
  </si>
  <si>
    <t>46059</t>
  </si>
  <si>
    <t>46099</t>
  </si>
  <si>
    <t>46067</t>
  </si>
  <si>
    <t>46071</t>
  </si>
  <si>
    <t>46100</t>
  </si>
  <si>
    <t>46006</t>
  </si>
  <si>
    <t>45861</t>
  </si>
  <si>
    <t>45895</t>
  </si>
  <si>
    <t>45896</t>
  </si>
  <si>
    <t>45916</t>
  </si>
  <si>
    <t>45915</t>
  </si>
  <si>
    <t>45922</t>
  </si>
  <si>
    <t>45924</t>
  </si>
  <si>
    <t>45931</t>
  </si>
  <si>
    <t>45935</t>
  </si>
  <si>
    <t>45950</t>
  </si>
  <si>
    <t>45985</t>
  </si>
  <si>
    <t>45993</t>
  </si>
  <si>
    <t>46066</t>
  </si>
  <si>
    <t>46119</t>
  </si>
  <si>
    <t>NG64 EOH</t>
  </si>
  <si>
    <t>520D Lux</t>
  </si>
  <si>
    <t>Plate Number</t>
  </si>
  <si>
    <t>Investor/SA</t>
  </si>
  <si>
    <t>Source</t>
  </si>
  <si>
    <t>PX Value</t>
  </si>
  <si>
    <t>Price</t>
  </si>
  <si>
    <t>Reconditioning costs</t>
  </si>
  <si>
    <t>Profit</t>
  </si>
  <si>
    <t>Status</t>
  </si>
  <si>
    <t>Copart</t>
  </si>
  <si>
    <t>Need to put on copart</t>
  </si>
  <si>
    <t>FB</t>
  </si>
  <si>
    <t>Charlie fixing fuel pump</t>
  </si>
  <si>
    <t>On Sale</t>
  </si>
  <si>
    <t>PX Swap</t>
  </si>
  <si>
    <t>Private</t>
  </si>
  <si>
    <t>Need To Change Boot Lock</t>
  </si>
  <si>
    <t>Being prepared</t>
  </si>
  <si>
    <t>Need to get tyres sorted + Clean, Photos and List</t>
  </si>
  <si>
    <t>Audi A3 Conv</t>
  </si>
  <si>
    <t>Need to wash and install third break lights</t>
  </si>
  <si>
    <t>Recovering when focus is done</t>
  </si>
  <si>
    <t>Body Shop</t>
  </si>
  <si>
    <t>Carwow</t>
  </si>
  <si>
    <t>KP53AUR</t>
  </si>
  <si>
    <t>Mercedes A Class</t>
  </si>
  <si>
    <t>need to fix and list</t>
  </si>
  <si>
    <t xml:space="preserve">Waiting for land lord to return </t>
  </si>
  <si>
    <t>6th september 2025</t>
  </si>
  <si>
    <t>Facebook</t>
  </si>
  <si>
    <t>16th September 2025</t>
  </si>
  <si>
    <t>15th September 2025</t>
  </si>
  <si>
    <t>CarWow</t>
  </si>
  <si>
    <t>22nd September 2025</t>
  </si>
  <si>
    <t>24th September 2025</t>
  </si>
  <si>
    <t>28th September 2025</t>
  </si>
  <si>
    <t>29th September 2025</t>
  </si>
  <si>
    <t>Yard</t>
  </si>
  <si>
    <t>DP64CXV</t>
  </si>
  <si>
    <t>Polo - HG57 MDE</t>
  </si>
  <si>
    <t xml:space="preserve">Facebook </t>
  </si>
  <si>
    <t>Motorway</t>
  </si>
  <si>
    <t>JFZ 1824</t>
  </si>
  <si>
    <t>`</t>
  </si>
  <si>
    <t>Peugot 107</t>
  </si>
  <si>
    <t>Mazda 5</t>
  </si>
  <si>
    <t>SX14 KKH</t>
  </si>
  <si>
    <t>CV65 VMZ</t>
  </si>
  <si>
    <t>OV61 WKH</t>
  </si>
  <si>
    <t>Audi A7</t>
  </si>
  <si>
    <t>YB68 XYT</t>
  </si>
  <si>
    <t>Suzuki Swift</t>
  </si>
  <si>
    <t>PE65 LXZ</t>
  </si>
  <si>
    <t>BMW 120D</t>
  </si>
  <si>
    <t>YB61 MHX</t>
  </si>
  <si>
    <t>BMW 328i</t>
  </si>
  <si>
    <t>Adam</t>
  </si>
  <si>
    <t>PX</t>
  </si>
  <si>
    <t>S88 RDF</t>
  </si>
  <si>
    <t xml:space="preserve">BMW 318D </t>
  </si>
  <si>
    <t>LS66 SVA</t>
  </si>
  <si>
    <t>BK61 SWZ</t>
  </si>
  <si>
    <t>WA13 XCV</t>
  </si>
  <si>
    <t>PL18 KLM</t>
  </si>
  <si>
    <t>VW Passat</t>
  </si>
  <si>
    <t>A5</t>
  </si>
  <si>
    <t xml:space="preserve">Daniel </t>
  </si>
  <si>
    <t>HF64 PLZ</t>
  </si>
  <si>
    <t>C200</t>
  </si>
  <si>
    <t>KM62 XFN</t>
  </si>
  <si>
    <t>Q5</t>
  </si>
  <si>
    <t>YK66 DWU</t>
  </si>
  <si>
    <t>CF15 OWA</t>
  </si>
  <si>
    <t>BG63 VYM</t>
  </si>
  <si>
    <t>FY67 WDE</t>
  </si>
  <si>
    <t>Mazda 3</t>
  </si>
  <si>
    <t>AY17 YWX</t>
  </si>
  <si>
    <t>Mazda CX3</t>
  </si>
  <si>
    <t>SE66 OFZ</t>
  </si>
  <si>
    <t>C220D</t>
  </si>
  <si>
    <t>A250E</t>
  </si>
  <si>
    <t>EJ68 WVM</t>
  </si>
  <si>
    <t>Kuga</t>
  </si>
  <si>
    <t>GX65 YJL</t>
  </si>
  <si>
    <t>Smart Fortwo</t>
  </si>
  <si>
    <t>Need to give to Charlie for coolant leak and schedule recalibration</t>
  </si>
  <si>
    <t xml:space="preserve">Given to Qashqai Customer as Courtesy Car - Thursday will be done </t>
  </si>
  <si>
    <t xml:space="preserve">gave to Yama on 2nd april for Timing Chain replacement | Call Customer </t>
  </si>
  <si>
    <t>Need to pickup from BCA</t>
  </si>
  <si>
    <t>Listed</t>
  </si>
  <si>
    <t>ordered parts awaiting fit</t>
  </si>
  <si>
    <t>Go Euro Car parts Philips PY24W 12V 24W Black Base Amber Bulb - Single Bulb https://www.eurocarparts.com/p/philips-py24w-12v-24w-black-base-amber-bulb-single-bulb-481772380</t>
  </si>
  <si>
    <t>Listed - Needs Front Tyres</t>
  </si>
  <si>
    <t>Electrician said done on 9th. call to schedule pickup</t>
  </si>
  <si>
    <t>listed - oil leak fix &amp; order left mirror cap Tuesday charlie open</t>
  </si>
  <si>
    <t>LY18 ZDV</t>
  </si>
  <si>
    <t>A200d</t>
  </si>
  <si>
    <t>Grill ordered, need to install &amp; fix front grill &amp; front bumper</t>
  </si>
  <si>
    <t>Listed Rear driver door Trim &amp; Kuga Plate</t>
  </si>
  <si>
    <t>YR16 XCB</t>
  </si>
  <si>
    <t>CLA Estate</t>
  </si>
  <si>
    <t>Listed - Needs MOT &amp; Drive belt Tuesday</t>
  </si>
  <si>
    <t>VE16 TNO</t>
  </si>
  <si>
    <t>Audi A6</t>
  </si>
  <si>
    <t>Listed- Call Waheed for body work &amp; DVLA mot &amp; needs MOT</t>
  </si>
  <si>
    <t>DL15 WDA</t>
  </si>
  <si>
    <t>A6 Allroad</t>
  </si>
  <si>
    <t>ready to list</t>
  </si>
  <si>
    <t>KM64 XCX</t>
  </si>
  <si>
    <t>A3 E-Tron</t>
  </si>
  <si>
    <t>engine light sort out</t>
  </si>
  <si>
    <t>YY62 XJW</t>
  </si>
  <si>
    <t>Audi a6</t>
  </si>
  <si>
    <t>RJ65 VVN</t>
  </si>
  <si>
    <t>520D Msport</t>
  </si>
  <si>
    <t>In Stock</t>
  </si>
  <si>
    <t>46120</t>
  </si>
  <si>
    <t>46117</t>
  </si>
  <si>
    <t>46116</t>
  </si>
  <si>
    <t>46112</t>
  </si>
  <si>
    <t>46106</t>
  </si>
  <si>
    <t>46105</t>
  </si>
  <si>
    <t>46101</t>
  </si>
  <si>
    <t>46096</t>
  </si>
  <si>
    <t>46093</t>
  </si>
  <si>
    <t>46090</t>
  </si>
  <si>
    <t>46080</t>
  </si>
  <si>
    <t>46051</t>
  </si>
  <si>
    <t>46037</t>
  </si>
  <si>
    <t>46033</t>
  </si>
  <si>
    <t>46032</t>
  </si>
  <si>
    <t>46029</t>
  </si>
  <si>
    <t>46003</t>
  </si>
  <si>
    <t>45999</t>
  </si>
  <si>
    <t>45996</t>
  </si>
  <si>
    <t>45977</t>
  </si>
  <si>
    <t>45970</t>
  </si>
  <si>
    <t>45961</t>
  </si>
  <si>
    <t>45960</t>
  </si>
  <si>
    <t>45959</t>
  </si>
  <si>
    <t>45948</t>
  </si>
  <si>
    <t>45947</t>
  </si>
  <si>
    <t>45946</t>
  </si>
  <si>
    <t>45929</t>
  </si>
  <si>
    <t>45928</t>
  </si>
  <si>
    <t>45900</t>
  </si>
  <si>
    <t>45873</t>
  </si>
  <si>
    <t>45807</t>
  </si>
  <si>
    <t>Date Won</t>
  </si>
  <si>
    <t>Location</t>
  </si>
  <si>
    <t>Post Code</t>
  </si>
  <si>
    <t>How Far?</t>
  </si>
  <si>
    <t>Collection Date</t>
  </si>
  <si>
    <t>Number</t>
  </si>
  <si>
    <t>Additional notes</t>
  </si>
  <si>
    <t>AF65LAA</t>
  </si>
  <si>
    <t>Mercedes CLA250</t>
  </si>
  <si>
    <t>Iverness</t>
  </si>
  <si>
    <t>IV362PN</t>
  </si>
  <si>
    <t>10 hours. 😐</t>
  </si>
  <si>
    <t>TBC</t>
  </si>
  <si>
    <t>SA17 ZGJ</t>
  </si>
  <si>
    <t>Volkswagen Passat GTE</t>
  </si>
  <si>
    <t>Edinburgh</t>
  </si>
  <si>
    <t>EH91UQ</t>
  </si>
  <si>
    <t xml:space="preserve"> Near GTI</t>
  </si>
  <si>
    <t>MJ69 CGU</t>
  </si>
  <si>
    <t xml:space="preserve">Tesla Model 3 Standard Range </t>
  </si>
  <si>
    <t>Manchester</t>
  </si>
  <si>
    <t>Awaiting confirmation</t>
  </si>
  <si>
    <t>ST63YUG</t>
  </si>
  <si>
    <t>Volkswagen Golf GTI</t>
  </si>
  <si>
    <t>EH222EL</t>
  </si>
  <si>
    <t>Near GTE</t>
  </si>
  <si>
    <t>LO65 TSU</t>
  </si>
  <si>
    <t xml:space="preserve">Mercedes-Benz C220d </t>
  </si>
  <si>
    <t>Enfield</t>
  </si>
  <si>
    <t>EN8 8NQ</t>
  </si>
  <si>
    <t>RK13 DOR</t>
  </si>
  <si>
    <t>Audi TTS</t>
  </si>
  <si>
    <t>Telford Birmingham</t>
  </si>
  <si>
    <t>TF28RW</t>
  </si>
  <si>
    <t>Grab after Tesla Pickup</t>
  </si>
  <si>
    <t>,</t>
  </si>
  <si>
    <t>Investors</t>
  </si>
  <si>
    <t>Initial Balance</t>
  </si>
  <si>
    <t>Capital Returned</t>
  </si>
  <si>
    <t>Total Balance</t>
  </si>
  <si>
    <t>Purchased</t>
  </si>
  <si>
    <t>Total Profit (since Nov-25)</t>
  </si>
  <si>
    <t>Available</t>
  </si>
  <si>
    <t>Anthony</t>
  </si>
  <si>
    <t>Total Capital</t>
  </si>
  <si>
    <t>Total Available</t>
  </si>
  <si>
    <t>Seller Name</t>
  </si>
  <si>
    <t>Sale Price</t>
  </si>
  <si>
    <t>Breakdown</t>
  </si>
  <si>
    <t>Smart Car</t>
  </si>
  <si>
    <t>Peggie</t>
  </si>
  <si>
    <t>52.45 warranty, 40 MOT, 8 wash, 17.95 insurance, 15 carwash</t>
  </si>
  <si>
    <t>SW58FTK</t>
  </si>
  <si>
    <t>Golf</t>
  </si>
  <si>
    <t>HAVERN</t>
  </si>
  <si>
    <t>20 Wash, 92 Warranty, 31.72 v62</t>
  </si>
  <si>
    <t>SR68 UTW</t>
  </si>
  <si>
    <t>Golf-E</t>
  </si>
  <si>
    <t>Daniella</t>
  </si>
  <si>
    <t>8.55 part, 8 wash, 6.49 Tow cover, warranty 69.95, v62 £25, £195 tax</t>
  </si>
  <si>
    <t xml:space="preserve">FX63VBV Golf </t>
  </si>
  <si>
    <t>MS66 SUL</t>
  </si>
  <si>
    <t>Date</t>
  </si>
  <si>
    <t>Reason</t>
  </si>
  <si>
    <t>Amount</t>
  </si>
  <si>
    <t>Reg</t>
  </si>
  <si>
    <t>Jatin Driver</t>
  </si>
  <si>
    <t>Smart Premuim SR16 HKT</t>
  </si>
  <si>
    <t>Detailer</t>
  </si>
  <si>
    <t>Detailer Fiat LK15, Quashkai, Octovia, Smart</t>
  </si>
  <si>
    <t>BMW 518d, Polo MF14, BMW 120d, Peugeot 2008</t>
  </si>
  <si>
    <t>Adam Driver</t>
  </si>
  <si>
    <t>Peugeot 2008, Audi A1 Drop off, BMW 328i</t>
  </si>
  <si>
    <t>Expense Incurred</t>
  </si>
  <si>
    <t>Kassim</t>
  </si>
  <si>
    <t>Train</t>
  </si>
  <si>
    <t>Uber</t>
  </si>
  <si>
    <t>TFL</t>
  </si>
  <si>
    <t>MF15 OPJ + EJ14 PTX</t>
  </si>
  <si>
    <t>YY65 CAU, S88 RDF,  LS66 SVA</t>
  </si>
  <si>
    <t>Mocha, S88 RDF, PE65 LXZ</t>
  </si>
  <si>
    <t>WA13XCV</t>
  </si>
  <si>
    <t>BJ64 OSE, A6</t>
  </si>
  <si>
    <t>VX16 XJU, LJ13 UAC</t>
  </si>
  <si>
    <t>Flight</t>
  </si>
  <si>
    <t>Pick-Up</t>
  </si>
  <si>
    <t>Kasim</t>
  </si>
  <si>
    <t>KU67 PWY &amp; FY67 WDE</t>
  </si>
  <si>
    <t>Bus</t>
  </si>
  <si>
    <t>Insurance</t>
  </si>
  <si>
    <t>Driver</t>
  </si>
  <si>
    <t>Category</t>
  </si>
  <si>
    <t>From</t>
  </si>
  <si>
    <t xml:space="preserve">Amount </t>
  </si>
  <si>
    <t>Payment Method</t>
  </si>
  <si>
    <t>Paid By</t>
  </si>
  <si>
    <t>Variable Cost</t>
  </si>
  <si>
    <t>Autotrader hpi</t>
  </si>
  <si>
    <t>Debit Card</t>
  </si>
  <si>
    <t>Business</t>
  </si>
  <si>
    <t>RE62VVC</t>
  </si>
  <si>
    <t>Fixed Overhead</t>
  </si>
  <si>
    <t>Mussey</t>
  </si>
  <si>
    <t>Car Huntr</t>
  </si>
  <si>
    <t>COS</t>
  </si>
  <si>
    <t>HPI Checks</t>
  </si>
  <si>
    <t>Parts</t>
  </si>
  <si>
    <t>Polish liquid</t>
  </si>
  <si>
    <t>Partslink</t>
  </si>
  <si>
    <t>SO13EXH</t>
  </si>
  <si>
    <t>BK10JXB</t>
  </si>
  <si>
    <t>AV57MFN</t>
  </si>
  <si>
    <t>Total Expense</t>
  </si>
  <si>
    <t>Nasir</t>
  </si>
  <si>
    <t>Bank Transfer</t>
  </si>
  <si>
    <t>Poppy</t>
  </si>
  <si>
    <t>Not paid back - Funpack Recovery</t>
  </si>
  <si>
    <t>AutoTrader HPI</t>
  </si>
  <si>
    <t>Not paid back - Not purchased</t>
  </si>
  <si>
    <t xml:space="preserve">Nasir </t>
  </si>
  <si>
    <t>Not paid back - Insurance</t>
  </si>
  <si>
    <t>Fine</t>
  </si>
  <si>
    <t>BMW</t>
  </si>
  <si>
    <t>Amazon</t>
  </si>
  <si>
    <t>Hoover Payment</t>
  </si>
  <si>
    <t>Transport</t>
  </si>
  <si>
    <t>Petrol Station</t>
  </si>
  <si>
    <t>Tape Audi Bumper</t>
  </si>
  <si>
    <t>4L Water Audi Coolant</t>
  </si>
  <si>
    <t>Food/Drink</t>
  </si>
  <si>
    <t xml:space="preserve">Londis - Mo Monster </t>
  </si>
  <si>
    <t>BK12LTU</t>
  </si>
  <si>
    <t>#</t>
  </si>
  <si>
    <t>Halfords</t>
  </si>
  <si>
    <t>Car Cover</t>
  </si>
  <si>
    <t>Virtual Office + Mail</t>
  </si>
  <si>
    <t>Barclays Business Account</t>
  </si>
  <si>
    <t>Spidersnet Website</t>
  </si>
  <si>
    <t>Van Hire Fuel</t>
  </si>
  <si>
    <t>Post Office</t>
  </si>
  <si>
    <t>Barclays Letter</t>
  </si>
  <si>
    <t>Euro Car Parts Coolant A5</t>
  </si>
  <si>
    <t>Transmission Oil A5</t>
  </si>
  <si>
    <t>Headlight Bracket A5</t>
  </si>
  <si>
    <t>Tiktok</t>
  </si>
  <si>
    <t>Polarised Filter</t>
  </si>
  <si>
    <t>Not purchased</t>
  </si>
  <si>
    <t>Parking Permit</t>
  </si>
  <si>
    <t>A5 Permit Transfer</t>
  </si>
  <si>
    <t>BCA</t>
  </si>
  <si>
    <t>Account Signup</t>
  </si>
  <si>
    <t>Car hunter</t>
  </si>
  <si>
    <t>Operating Cost</t>
  </si>
  <si>
    <t>Shell</t>
  </si>
  <si>
    <t>Water</t>
  </si>
  <si>
    <t>Charger</t>
  </si>
  <si>
    <t>Coffee</t>
  </si>
  <si>
    <t>1st</t>
  </si>
  <si>
    <t>Asda</t>
  </si>
  <si>
    <t>Towels + Cookies</t>
  </si>
  <si>
    <t>DVLA</t>
  </si>
  <si>
    <t>Tax FL11LXD</t>
  </si>
  <si>
    <t>2nd</t>
  </si>
  <si>
    <t>Chat GPT</t>
  </si>
  <si>
    <t>1 Month Subscription</t>
  </si>
  <si>
    <t>3rd</t>
  </si>
  <si>
    <t>eBay</t>
  </si>
  <si>
    <t>Paper Floormats</t>
  </si>
  <si>
    <t>TAX LS15HLO</t>
  </si>
  <si>
    <t>SpydersNet</t>
  </si>
  <si>
    <t>Website</t>
  </si>
  <si>
    <t>4th</t>
  </si>
  <si>
    <t>Auto Trader</t>
  </si>
  <si>
    <t>Ibiza</t>
  </si>
  <si>
    <t>HPI Check</t>
  </si>
  <si>
    <t>Fiat 500 Abdullah</t>
  </si>
  <si>
    <t>5th</t>
  </si>
  <si>
    <t>Barclays</t>
  </si>
  <si>
    <t>Nasir Deposit + Monthly Charge</t>
  </si>
  <si>
    <t>13th</t>
  </si>
  <si>
    <t>VW Centre Wheel cap polo</t>
  </si>
  <si>
    <t>15th</t>
  </si>
  <si>
    <t>Admiral</t>
  </si>
  <si>
    <t>Insurance A5</t>
  </si>
  <si>
    <t>16th</t>
  </si>
  <si>
    <t>18th</t>
  </si>
  <si>
    <t>Euro Car Parts</t>
  </si>
  <si>
    <t>Battery booster</t>
  </si>
  <si>
    <t>19th</t>
  </si>
  <si>
    <t>Tyre shine</t>
  </si>
  <si>
    <t>24th</t>
  </si>
  <si>
    <t>Carwash</t>
  </si>
  <si>
    <t>26th</t>
  </si>
  <si>
    <t>Polish</t>
  </si>
  <si>
    <t>29th</t>
  </si>
  <si>
    <t>LJ Work Wear</t>
  </si>
  <si>
    <t>Company Work Outfits</t>
  </si>
  <si>
    <t>storage box</t>
  </si>
  <si>
    <t>Account Fee</t>
  </si>
  <si>
    <t>Admin</t>
  </si>
  <si>
    <t>ChatGPT</t>
  </si>
  <si>
    <t>Review Cards</t>
  </si>
  <si>
    <t>Spidersnet</t>
  </si>
  <si>
    <t>Wickes</t>
  </si>
  <si>
    <t>Cement</t>
  </si>
  <si>
    <t>B&amp;Q</t>
  </si>
  <si>
    <t>Selco Builders</t>
  </si>
  <si>
    <t>Plaster Board</t>
  </si>
  <si>
    <t>SA Merch</t>
  </si>
  <si>
    <t>Charges</t>
  </si>
  <si>
    <t>Ads Package</t>
  </si>
  <si>
    <t>Rent</t>
  </si>
  <si>
    <t>Unit</t>
  </si>
  <si>
    <t>Business Car</t>
  </si>
  <si>
    <t>Cash</t>
  </si>
  <si>
    <t>Audi Tyre</t>
  </si>
  <si>
    <t>Office</t>
  </si>
  <si>
    <t>Toolstation</t>
  </si>
  <si>
    <t>Blu Tack</t>
  </si>
  <si>
    <t>Ziba Caffe</t>
  </si>
  <si>
    <t>Business Planning</t>
  </si>
  <si>
    <t>Wall Paper</t>
  </si>
  <si>
    <t>Audi</t>
  </si>
  <si>
    <t>Key Box</t>
  </si>
  <si>
    <t>TikTok Shop</t>
  </si>
  <si>
    <t>Car Phone Charger</t>
  </si>
  <si>
    <t>Business Cards</t>
  </si>
  <si>
    <t>Adhesive Spray</t>
  </si>
  <si>
    <t>Floor Matt</t>
  </si>
  <si>
    <t>Heater</t>
  </si>
  <si>
    <t>Table</t>
  </si>
  <si>
    <t>Volvo</t>
  </si>
  <si>
    <t>Fiesta SG14FUJ</t>
  </si>
  <si>
    <t>Fuel Station</t>
  </si>
  <si>
    <t>Waitrose</t>
  </si>
  <si>
    <t>Chairs</t>
  </si>
  <si>
    <t>Food</t>
  </si>
  <si>
    <t>d's kitchen</t>
  </si>
  <si>
    <t>Chicken Shop</t>
  </si>
  <si>
    <t>Recovery for Corsa - Vehicle Sale Cancelled MF61 ECN Engine issues</t>
  </si>
  <si>
    <t>Pizza</t>
  </si>
  <si>
    <t>Direct Debit</t>
  </si>
  <si>
    <t>Audi Road Tax</t>
  </si>
  <si>
    <t>Spyders Net</t>
  </si>
  <si>
    <t>Mealdeal for driver &amp; Poppy</t>
  </si>
  <si>
    <t>Paid by Poppy</t>
  </si>
  <si>
    <t>Car Guru</t>
  </si>
  <si>
    <t xml:space="preserve">Accidental </t>
  </si>
  <si>
    <t>Repayed by Poppy - Hostinger</t>
  </si>
  <si>
    <t>Lunch - Joseph, Mussey, Poppy, Ben</t>
  </si>
  <si>
    <t>Audi Insurance. Leaf Included - to be refunded following month</t>
  </si>
  <si>
    <t>Supplies</t>
  </si>
  <si>
    <t>Car Collection</t>
  </si>
  <si>
    <t>Poppy To confirm</t>
  </si>
  <si>
    <t>Sim</t>
  </si>
  <si>
    <t>Poppy Sim Bill</t>
  </si>
  <si>
    <t>Tyre &amp; Shine</t>
  </si>
  <si>
    <t>Kuga, Golf, Fiat</t>
  </si>
  <si>
    <t>TP Link Wifi Internet</t>
  </si>
  <si>
    <t>Smarty Data plan Internet</t>
  </si>
  <si>
    <t xml:space="preserve">Bank </t>
  </si>
  <si>
    <t>Withdrawal</t>
  </si>
  <si>
    <t>Monthly Charge</t>
  </si>
  <si>
    <t>Rayban Meta Glasses</t>
  </si>
  <si>
    <t>Council</t>
  </si>
  <si>
    <t>transport</t>
  </si>
  <si>
    <t>Wage</t>
  </si>
  <si>
    <t>Omar Wage</t>
  </si>
  <si>
    <t>Container</t>
  </si>
  <si>
    <t>Easy Jet Flight - Poppy, Kasim (missed)</t>
  </si>
  <si>
    <t>Driver - Kasim Moving Vehicles</t>
  </si>
  <si>
    <t>Cable for lights</t>
  </si>
  <si>
    <t>Breakfeast</t>
  </si>
  <si>
    <t>Insurance Smart</t>
  </si>
  <si>
    <t>Ebay Tags</t>
  </si>
  <si>
    <t>DJI Mic</t>
  </si>
  <si>
    <t>Unit lights</t>
  </si>
  <si>
    <t>Inpound fee - Smart</t>
  </si>
  <si>
    <t>Coffee Pods</t>
  </si>
  <si>
    <t>Lights installation</t>
  </si>
  <si>
    <t>Coffee Cups</t>
  </si>
  <si>
    <t>Wash</t>
  </si>
  <si>
    <t>Joseph Fine</t>
  </si>
  <si>
    <t>Deposit - Office</t>
  </si>
  <si>
    <t>Coat hanger</t>
  </si>
  <si>
    <t>Bin</t>
  </si>
  <si>
    <t>Admiral Insurance</t>
  </si>
  <si>
    <t>Autotrader Package</t>
  </si>
  <si>
    <t>Omar Driver Paid Train and will payback with free day work</t>
  </si>
  <si>
    <t>Mic adapter</t>
  </si>
  <si>
    <t>v62 Golf SW58FTK</t>
  </si>
  <si>
    <t>Drawers for the office</t>
  </si>
  <si>
    <t>Motor trade insurance</t>
  </si>
  <si>
    <t>Lyca number Poppy</t>
  </si>
  <si>
    <t>WD-40</t>
  </si>
  <si>
    <t>Letters for trade plates and v62</t>
  </si>
  <si>
    <t>Fine Fiesta</t>
  </si>
  <si>
    <t>Meta Glasses Klarna</t>
  </si>
  <si>
    <t>Trade plates letters</t>
  </si>
  <si>
    <t>Trade plates</t>
  </si>
  <si>
    <t>Asda - Paper</t>
  </si>
  <si>
    <t xml:space="preserve">BMW GT Tax </t>
  </si>
  <si>
    <t>S5 Key Recovery</t>
  </si>
  <si>
    <t>A5 Shocks</t>
  </si>
  <si>
    <t>Flgiht to Scotland</t>
  </si>
  <si>
    <t>Accomadation in Scotland</t>
  </si>
  <si>
    <t>Air Audi A5</t>
  </si>
  <si>
    <t>Booking.com Scotland GT and Smart</t>
  </si>
  <si>
    <t>Asda Poppy</t>
  </si>
  <si>
    <t>Smart Train, + £10 for earlier train</t>
  </si>
  <si>
    <t>Train GT to Smart car</t>
  </si>
  <si>
    <t>Motor Trade Insurance</t>
  </si>
  <si>
    <t>Audi Tyres</t>
  </si>
  <si>
    <t>Accountant submitting accounts</t>
  </si>
  <si>
    <t>Double side tape</t>
  </si>
  <si>
    <t>Tax</t>
  </si>
  <si>
    <t>Miscellaneous Cost</t>
  </si>
  <si>
    <t>Company Coffee</t>
  </si>
  <si>
    <t>Gatwick Car Drop Off</t>
  </si>
  <si>
    <t>A5 Wash</t>
  </si>
  <si>
    <t>x3 Flights to Scotland</t>
  </si>
  <si>
    <t>Miscellaneous Cost Scotland</t>
  </si>
  <si>
    <t>Driver food LS66 SVA</t>
  </si>
  <si>
    <t>cash</t>
  </si>
  <si>
    <t>James Gatwick - Scotland</t>
  </si>
  <si>
    <t>Khalid Sweets - Appreciation Gesture</t>
  </si>
  <si>
    <t>Insurance Audi</t>
  </si>
  <si>
    <t>Trade Insurance</t>
  </si>
  <si>
    <t>Ebay Expense</t>
  </si>
  <si>
    <t>DJI Mic Adaptor</t>
  </si>
  <si>
    <t xml:space="preserve">Paper Floor Mats </t>
  </si>
  <si>
    <t xml:space="preserve">Easy Jet Flight </t>
  </si>
  <si>
    <t>Driver Snack</t>
  </si>
  <si>
    <t>Lyca</t>
  </si>
  <si>
    <t>Smarty</t>
  </si>
  <si>
    <t>Ebay SA Plate</t>
  </si>
  <si>
    <t>OV61WKH return cost</t>
  </si>
  <si>
    <t>Poppy Powerbank</t>
  </si>
  <si>
    <t>Parts Link</t>
  </si>
  <si>
    <t>Audi A5 windows</t>
  </si>
  <si>
    <t>Audi Tax</t>
  </si>
  <si>
    <t>Barclays Fee</t>
  </si>
  <si>
    <t>Food detailer</t>
  </si>
  <si>
    <t>Audi rear glass</t>
  </si>
  <si>
    <t>Fine  OY61</t>
  </si>
  <si>
    <t>Adam Wage</t>
  </si>
  <si>
    <t>PRIME</t>
  </si>
  <si>
    <t>Isam call out</t>
  </si>
  <si>
    <t>Claude Ai</t>
  </si>
  <si>
    <t>Lyca (spread over 4 months)</t>
  </si>
  <si>
    <t>RENT</t>
  </si>
  <si>
    <t>car guru</t>
  </si>
  <si>
    <t>Car</t>
  </si>
  <si>
    <t>Column1</t>
  </si>
  <si>
    <t>Fiesta</t>
  </si>
  <si>
    <t>Total Fuel</t>
  </si>
  <si>
    <t>Van Hire</t>
  </si>
  <si>
    <t>To be returned</t>
  </si>
  <si>
    <t>Deposit</t>
  </si>
  <si>
    <t>Card</t>
  </si>
  <si>
    <t>Depo not refunded</t>
  </si>
  <si>
    <t>Delivery Fee</t>
  </si>
  <si>
    <t>Delivery Fee Audi A5, ET15 BWO</t>
  </si>
  <si>
    <t>Total Money In</t>
  </si>
  <si>
    <t>Transfer</t>
  </si>
  <si>
    <t>Impound Fee</t>
  </si>
  <si>
    <t>SOR Sale</t>
  </si>
  <si>
    <t>Depo not refunded for Audi A1</t>
  </si>
  <si>
    <t>E-Golf sale</t>
  </si>
  <si>
    <t xml:space="preserve">EN63 TKA </t>
  </si>
  <si>
    <t>Admin Fee</t>
  </si>
  <si>
    <t>Admin Fee+Delivery £151</t>
  </si>
  <si>
    <t>EBAY Return</t>
  </si>
  <si>
    <t>OV61WKH</t>
  </si>
  <si>
    <t>Car return</t>
  </si>
  <si>
    <t>DP14 WEP</t>
  </si>
  <si>
    <t>Admin Fee &amp; Delivery</t>
  </si>
  <si>
    <t xml:space="preserve"> </t>
  </si>
  <si>
    <t>Cost Incurred on</t>
  </si>
  <si>
    <t>Nissan Leaf Car Wash</t>
  </si>
  <si>
    <t>Fuel</t>
  </si>
  <si>
    <t>Lights</t>
  </si>
  <si>
    <t xml:space="preserve">BMW </t>
  </si>
  <si>
    <t>Alloys</t>
  </si>
  <si>
    <t>Rent + Deposit</t>
  </si>
  <si>
    <t>Fiat 500, LM64</t>
  </si>
  <si>
    <t>MOT</t>
  </si>
  <si>
    <t>Printer</t>
  </si>
  <si>
    <t>Drawers</t>
  </si>
  <si>
    <t>HG57</t>
  </si>
  <si>
    <t>bODYWORK + Spark Plugs</t>
  </si>
  <si>
    <t>Polo MJ15</t>
  </si>
  <si>
    <t>Mechanic  Polo</t>
  </si>
  <si>
    <t>BMW 120D Tyre</t>
  </si>
  <si>
    <t>MOT BMW 120D</t>
  </si>
  <si>
    <t>MF15 FUH</t>
  </si>
  <si>
    <t>Electrician</t>
  </si>
  <si>
    <t>Bodywork Outlander</t>
  </si>
  <si>
    <t>EJ14</t>
  </si>
  <si>
    <t>BMW Car wash</t>
  </si>
  <si>
    <t xml:space="preserve">Bodywork BMW </t>
  </si>
  <si>
    <t>Bodywork Skodia VRS</t>
  </si>
  <si>
    <t>JR Alloys BMW</t>
  </si>
  <si>
    <t>Bodywork</t>
  </si>
  <si>
    <t>WJ62 UVS</t>
  </si>
  <si>
    <t>Steering wheel - Mocha</t>
  </si>
  <si>
    <t xml:space="preserve">Rent   </t>
  </si>
  <si>
    <t>MS66UL, MK14 XVX, BG63VYM</t>
  </si>
  <si>
    <t>Alloy refurb</t>
  </si>
  <si>
    <t>Money taken out by SA CASH</t>
  </si>
  <si>
    <t>£250 Poppy, £250 Mussey from Nissan Mirca</t>
  </si>
  <si>
    <t>Total Money Out</t>
  </si>
  <si>
    <t>Director Loan Repayment</t>
  </si>
  <si>
    <t>Item</t>
  </si>
  <si>
    <t>Sold For</t>
  </si>
  <si>
    <t>Fees</t>
  </si>
  <si>
    <t>Profit / Loss</t>
  </si>
  <si>
    <t>fuel</t>
  </si>
  <si>
    <t>Toll</t>
  </si>
  <si>
    <t>TINTS</t>
  </si>
  <si>
    <t>Ferry</t>
  </si>
  <si>
    <t>toll</t>
  </si>
  <si>
    <t>UBER</t>
  </si>
  <si>
    <t>FUEL</t>
  </si>
  <si>
    <t>Air</t>
  </si>
  <si>
    <t>wash</t>
  </si>
  <si>
    <t>Coolant leak</t>
  </si>
  <si>
    <t>Alloy</t>
  </si>
  <si>
    <t>Badge</t>
  </si>
  <si>
    <t>Seat</t>
  </si>
  <si>
    <t>Mirror</t>
  </si>
  <si>
    <t>Indicator</t>
  </si>
  <si>
    <t>Key Battery</t>
  </si>
  <si>
    <t>warranty</t>
  </si>
  <si>
    <t>Fuek</t>
  </si>
  <si>
    <t xml:space="preserve">Price </t>
  </si>
  <si>
    <t>Charlie</t>
  </si>
  <si>
    <t>Headlight fix</t>
  </si>
  <si>
    <t>Light</t>
  </si>
  <si>
    <t>Centre Vent</t>
  </si>
  <si>
    <t>Oil</t>
  </si>
  <si>
    <t xml:space="preserve">Service </t>
  </si>
  <si>
    <t>Rear Light</t>
  </si>
  <si>
    <t>Wiper</t>
  </si>
  <si>
    <t>Sun visoe</t>
  </si>
  <si>
    <t>cig port</t>
  </si>
  <si>
    <t>SEAT REPAIR</t>
  </si>
  <si>
    <t>ULEZ</t>
  </si>
  <si>
    <t>Boot latch</t>
  </si>
  <si>
    <t>tyres</t>
  </si>
  <si>
    <t>Seat repair</t>
  </si>
  <si>
    <t>Windscreen</t>
  </si>
  <si>
    <t>Boot fix</t>
  </si>
  <si>
    <t xml:space="preserve">Roof </t>
  </si>
  <si>
    <t>Roof handle</t>
  </si>
  <si>
    <t>Oil leak</t>
  </si>
  <si>
    <t>OSE Centre console</t>
  </si>
  <si>
    <t>Tyres</t>
  </si>
  <si>
    <t>Map SD</t>
  </si>
  <si>
    <t>Tyre</t>
  </si>
  <si>
    <t>Headlight</t>
  </si>
  <si>
    <t>Grill</t>
  </si>
  <si>
    <t>Carplay</t>
  </si>
  <si>
    <t>mirror switch</t>
  </si>
  <si>
    <t>window button</t>
  </si>
  <si>
    <t>Badges</t>
  </si>
  <si>
    <t xml:space="preserve">Driver </t>
  </si>
  <si>
    <t>Razak</t>
  </si>
  <si>
    <t xml:space="preserve">MOT </t>
  </si>
  <si>
    <t>Battery</t>
  </si>
  <si>
    <t>wASH</t>
  </si>
  <si>
    <t>Oil Cap</t>
  </si>
  <si>
    <t>charlie</t>
  </si>
  <si>
    <t>Spare typre</t>
  </si>
  <si>
    <t>Comback</t>
  </si>
  <si>
    <t xml:space="preserve">Tyres </t>
  </si>
  <si>
    <t>Door handle</t>
  </si>
  <si>
    <t>Buttons</t>
  </si>
  <si>
    <t>Steering wheel cover</t>
  </si>
  <si>
    <t>Qashqai Recovery</t>
  </si>
  <si>
    <t>Car Price</t>
  </si>
  <si>
    <t>Rasak</t>
  </si>
  <si>
    <t>Steering wheel</t>
  </si>
  <si>
    <t>Investor Payout</t>
  </si>
  <si>
    <t>To be paid back</t>
  </si>
  <si>
    <t>Parking button</t>
  </si>
  <si>
    <t>Deep Wash</t>
  </si>
  <si>
    <t>Parking Break</t>
  </si>
  <si>
    <t>Tyre (3)</t>
  </si>
  <si>
    <t xml:space="preserve">Wash </t>
  </si>
  <si>
    <t>Driver Mirror</t>
  </si>
  <si>
    <t>Door trim</t>
  </si>
  <si>
    <t>Alloy caps</t>
  </si>
  <si>
    <t>cig cover</t>
  </si>
  <si>
    <t>Rear vent</t>
  </si>
  <si>
    <t xml:space="preserve">Brake fluid </t>
  </si>
  <si>
    <t>Brake service</t>
  </si>
  <si>
    <t>Brake Pump</t>
  </si>
  <si>
    <t>Front bumper trim</t>
  </si>
  <si>
    <t>bodywork</t>
  </si>
  <si>
    <t>fuse box &amp; relay</t>
  </si>
  <si>
    <t>diagnosis</t>
  </si>
  <si>
    <t>Recovery</t>
  </si>
  <si>
    <t>Gearbox</t>
  </si>
  <si>
    <t>Passanger handle</t>
  </si>
  <si>
    <t>cluster</t>
  </si>
  <si>
    <t>Jatin</t>
  </si>
  <si>
    <t xml:space="preserve">Fuel </t>
  </si>
  <si>
    <t>Coding</t>
  </si>
  <si>
    <t>razak</t>
  </si>
  <si>
    <t>Radar</t>
  </si>
  <si>
    <t>Delivery</t>
  </si>
  <si>
    <t>sum</t>
  </si>
  <si>
    <t>Mot</t>
  </si>
  <si>
    <t>Oil filter</t>
  </si>
  <si>
    <t>Radio</t>
  </si>
  <si>
    <t>Antenna</t>
  </si>
  <si>
    <t>Tape</t>
  </si>
  <si>
    <t>Note</t>
  </si>
  <si>
    <t>Delivery + Admin</t>
  </si>
  <si>
    <t xml:space="preserve">Insurance </t>
  </si>
  <si>
    <t xml:space="preserve">SA Total </t>
  </si>
  <si>
    <t>Comeback</t>
  </si>
  <si>
    <t>Flight To Scotland</t>
  </si>
  <si>
    <t>Toll road</t>
  </si>
  <si>
    <t>Car price</t>
  </si>
  <si>
    <t>Part Ex Value</t>
  </si>
  <si>
    <t>Audi A4 Hamzi YB65 GRU Paid out - Profit factors SA paying Hamzi out of Pocket</t>
  </si>
  <si>
    <t>oil</t>
  </si>
  <si>
    <t>Service</t>
  </si>
  <si>
    <t>ADMIN</t>
  </si>
  <si>
    <t>driver</t>
  </si>
  <si>
    <t>train</t>
  </si>
  <si>
    <t>uber</t>
  </si>
  <si>
    <t>Tyre Pump</t>
  </si>
  <si>
    <t>ulez</t>
  </si>
  <si>
    <t xml:space="preserve">Train </t>
  </si>
  <si>
    <t>Recovery of Vehicle</t>
  </si>
  <si>
    <t>fee</t>
  </si>
  <si>
    <t>Aux belt</t>
  </si>
  <si>
    <t>Belt change</t>
  </si>
  <si>
    <t>Driver drop off</t>
  </si>
  <si>
    <t>tires</t>
  </si>
  <si>
    <t>kassim</t>
  </si>
  <si>
    <t xml:space="preserve">wash </t>
  </si>
  <si>
    <t>Saleh</t>
  </si>
  <si>
    <t>Plate</t>
  </si>
  <si>
    <t>Travel</t>
  </si>
  <si>
    <t xml:space="preserve">Uber </t>
  </si>
  <si>
    <t>Total Cost (£)</t>
  </si>
  <si>
    <t>Sold For (£)</t>
  </si>
  <si>
    <t>Profit / Loss (£)</t>
  </si>
  <si>
    <t>Body work</t>
  </si>
  <si>
    <t>gearbox service</t>
  </si>
  <si>
    <t xml:space="preserve">bATTERY </t>
  </si>
  <si>
    <t>cHANGE BATTERY</t>
  </si>
  <si>
    <t>windscreen</t>
  </si>
  <si>
    <t xml:space="preserve">BEN </t>
  </si>
  <si>
    <t>Door Handle</t>
  </si>
  <si>
    <t>service and leak</t>
  </si>
  <si>
    <t>Parking module</t>
  </si>
  <si>
    <t>Parking module TSP</t>
  </si>
  <si>
    <t>Refunded</t>
  </si>
  <si>
    <t xml:space="preserve">Delivery </t>
  </si>
  <si>
    <t>Hpi Check</t>
  </si>
  <si>
    <t>Brakes</t>
  </si>
  <si>
    <t>PX value</t>
  </si>
  <si>
    <t>Part ex</t>
  </si>
  <si>
    <t>Spark Plugs</t>
  </si>
  <si>
    <t>Ebay</t>
  </si>
  <si>
    <t>Handle</t>
  </si>
  <si>
    <t xml:space="preserve">Autotrader </t>
  </si>
  <si>
    <t>Wages</t>
  </si>
  <si>
    <t>Seat Repair</t>
  </si>
  <si>
    <t>£18 to be refunded</t>
  </si>
  <si>
    <t>Part EX</t>
  </si>
  <si>
    <t xml:space="preserve">Mocha </t>
  </si>
  <si>
    <t>Value</t>
  </si>
  <si>
    <t>Brought</t>
  </si>
  <si>
    <t>Cupholders</t>
  </si>
  <si>
    <t>FULL PAID James</t>
  </si>
  <si>
    <t>Sunvisor Clip</t>
  </si>
  <si>
    <t>Investor James</t>
  </si>
  <si>
    <t>Petrol</t>
  </si>
  <si>
    <t>Body Work</t>
  </si>
  <si>
    <t>Reflectors</t>
  </si>
  <si>
    <t>Tyre Sensors</t>
  </si>
  <si>
    <t>insurance</t>
  </si>
  <si>
    <t>mot</t>
  </si>
  <si>
    <t>Spare tyre</t>
  </si>
  <si>
    <t>Fuel Pump</t>
  </si>
  <si>
    <t>Redcorn</t>
  </si>
  <si>
    <t>Mechanic</t>
  </si>
  <si>
    <t>Fuel Filter</t>
  </si>
  <si>
    <t>Ebrahim</t>
  </si>
  <si>
    <t>Tfl</t>
  </si>
  <si>
    <t>Super glue</t>
  </si>
  <si>
    <t>jatin</t>
  </si>
  <si>
    <t>Impound</t>
  </si>
  <si>
    <t>Exhaust</t>
  </si>
  <si>
    <t>Injector Cleaner</t>
  </si>
  <si>
    <t>AutoTrader</t>
  </si>
  <si>
    <t>Diagnosis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</si>
</sst>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-&quot;£&quot;* #,##0.00_-;-&quot;£&quot;* #,##0.00_-;_-&quot;£&quot;* &quot;-&quot;??_-;_-@_-"/>
    <numFmt numFmtId="165" formatCode="_(* #,##0.00_);_(* (#,##0.00);_(* &quot;-&quot;??_);_(@_)"/>
    <numFmt numFmtId="166" formatCode="_(&quot;£&quot;* #,##0.00_);_(&quot;£&quot;* (#,##0.00);_(&quot;£&quot;* &quot;-&quot;??_);_(@_)"/>
    <numFmt numFmtId="167" formatCode="[$£-809]#,##0.00"/>
    <numFmt numFmtId="168" formatCode="&quot;£&quot;#,##0.00"/>
    <numFmt numFmtId="169" formatCode="mm/dd/yy;@"/>
    <numFmt numFmtId="170" formatCode="[$-F800]dddd, mmmm dd, yyyy"/>
    <numFmt numFmtId="171" formatCode="m/d;@"/>
    <numFmt numFmtId="172" formatCode="[$-409]d-mmm-yyyy;@"/>
    <numFmt numFmtId="173" formatCode="_(* #,##0.0_);_(* (#,##0.0);_(* &quot;-&quot;?_);_(@_)"/>
    <numFmt numFmtId="174" formatCode="_-[$£-809]* #,##0.00_-;-[$£-809]* #,##0.00_-;_-[$£-809]* &quot;-&quot;??_-;_-@_-"/>
    <numFmt numFmtId="175" formatCode="£#,##0.00"/>
  </numFmts>
  <fonts count="21" x14ac:knownFonts="1">
    <font>
      <color theme="1"/>
      <family val="2"/>
      <scheme val="minor"/>
      <sz val="11"/>
      <name val="Calibri"/>
    </font>
    <font>
      <color theme="1"/>
      <sz val="11"/>
      <name val="Calibri  "/>
    </font>
    <font>
      <sz val="14"/>
      <name val="Calibri  "/>
    </font>
    <font>
      <b/>
      <sz val="14"/>
      <name val="Calibri  "/>
    </font>
    <font>
      <color theme="1"/>
      <sz val="14"/>
      <name val="Calibri  "/>
    </font>
    <font>
      <color theme="1"/>
      <family val="2"/>
      <sz val="11"/>
      <name val="Calibri"/>
    </font>
    <font>
      <b/>
      <color theme="1"/>
      <family val="2"/>
      <scheme val="minor"/>
      <sz val="11"/>
      <name val="Calibri"/>
    </font>
    <font>
      <b/>
      <family val="2"/>
      <scheme val="minor"/>
      <sz val="11"/>
      <name val="Calibri"/>
    </font>
    <font>
      <b/>
      <color theme="1"/>
      <family val="2"/>
      <scheme val="minor"/>
      <sz val="12"/>
      <name val="Calibri"/>
    </font>
    <font>
      <color rgb="FFFF0000"/>
      <family val="2"/>
      <scheme val="minor"/>
      <sz val="11"/>
      <name val="Calibri"/>
    </font>
    <font>
      <color rgb="FF00B050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color rgb="FF242424"/>
      <sz val="11"/>
      <name val="Aptos Narrow"/>
    </font>
    <font>
      <b/>
      <color rgb="FF000000"/>
      <family val="2"/>
      <scheme val="minor"/>
      <sz val="11"/>
      <name val="Calibri"/>
    </font>
    <font>
      <color theme="1" tint="0.0499893185216834"/>
      <family val="2"/>
      <scheme val="minor"/>
      <sz val="11"/>
      <name val="Calibri"/>
    </font>
    <font>
      <b/>
      <color rgb="FF000000"/>
      <family val="2"/>
      <scheme val="minor"/>
      <sz val="12"/>
      <name val="Calibri"/>
    </font>
    <font>
      <color rgb="FF000000"/>
      <family val="2"/>
      <scheme val="minor"/>
      <sz val="12"/>
      <name val="Calibri"/>
    </font>
    <font>
      <color rgb="FFFF0000"/>
      <family val="2"/>
      <scheme val="minor"/>
      <sz val="12"/>
      <name val="Calibri"/>
    </font>
    <font>
      <color rgb="FF000000"/>
      <family val="2"/>
      <scheme val="minor"/>
      <sz val="10"/>
      <name val="Calibri"/>
    </font>
    <font>
      <color theme="1"/>
      <family val="2"/>
      <scheme val="minor"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7" fontId="3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7" fontId="2" fillId="0" borderId="8" xfId="0" applyNumberFormat="1" applyFont="1" applyBorder="1" applyAlignment="1">
      <alignment horizontal="center" vertical="center"/>
    </xf>
    <xf numFmtId="10" fontId="2" fillId="0" borderId="8" xfId="0" applyNumberFormat="1" applyFont="1" applyBorder="1" applyAlignment="1">
      <alignment horizontal="center" vertical="center"/>
    </xf>
    <xf numFmtId="17" fontId="3" fillId="0" borderId="11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17" fontId="3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/>
    </xf>
    <xf numFmtId="166" fontId="2" fillId="3" borderId="7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164" fontId="6" fillId="4" borderId="14" xfId="0" applyNumberFormat="1" applyFont="1" applyFill="1" applyBorder="1" applyAlignment="1">
      <alignment horizontal="center" vertical="center"/>
    </xf>
    <xf numFmtId="164" fontId="6" fillId="4" borderId="15" xfId="0" applyNumberFormat="1" applyFont="1" applyFill="1" applyBorder="1" applyAlignment="1">
      <alignment horizontal="center" vertical="center"/>
    </xf>
    <xf numFmtId="17" fontId="8" fillId="0" borderId="4" xfId="0" applyNumberFormat="1" applyFont="1" applyBorder="1" applyAlignment="1">
      <alignment horizontal="left" wrapText="1"/>
    </xf>
    <xf numFmtId="14" fontId="0" fillId="0" borderId="4" xfId="0" applyNumberFormat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164" fontId="0" fillId="0" borderId="4" xfId="0" applyNumberFormat="1" applyBorder="1" applyAlignment="1">
      <alignment wrapText="1"/>
    </xf>
    <xf numFmtId="14" fontId="0" fillId="0" borderId="4" xfId="0" applyNumberFormat="1" applyBorder="1" applyAlignment="1">
      <alignment wrapText="1"/>
    </xf>
    <xf numFmtId="49" fontId="0" fillId="0" borderId="4" xfId="0" applyNumberFormat="1" applyBorder="1" applyAlignment="1">
      <alignment horizontal="center" wrapText="1"/>
    </xf>
    <xf numFmtId="49" fontId="6" fillId="0" borderId="4" xfId="0" applyNumberFormat="1" applyFont="1" applyBorder="1" applyAlignment="1">
      <alignment wrapText="1"/>
    </xf>
    <xf numFmtId="167" fontId="0" fillId="0" borderId="5" xfId="0" applyNumberFormat="1" applyBorder="1" applyAlignment="1">
      <alignment horizontal="left" wrapText="1"/>
    </xf>
    <xf numFmtId="0" fontId="0" fillId="0" borderId="4" xfId="0" applyBorder="1" applyAlignment="1">
      <alignment horizontal="center" wrapText="1"/>
    </xf>
    <xf numFmtId="164" fontId="0" fillId="3" borderId="4" xfId="0" applyNumberFormat="1" applyFill="1" applyBorder="1" applyAlignment="1">
      <alignment horizontal="right" wrapText="1"/>
    </xf>
    <xf numFmtId="164" fontId="0" fillId="3" borderId="4" xfId="0" applyNumberFormat="1" applyFill="1" applyBorder="1" applyAlignment="1">
      <alignment wrapText="1"/>
    </xf>
    <xf numFmtId="17" fontId="8" fillId="5" borderId="4" xfId="0" applyNumberFormat="1" applyFont="1" applyFill="1" applyBorder="1" applyAlignment="1">
      <alignment horizontal="left" wrapText="1"/>
    </xf>
    <xf numFmtId="14" fontId="0" fillId="6" borderId="4" xfId="0" applyNumberFormat="1" applyFill="1" applyBorder="1" applyAlignment="1">
      <alignment wrapText="1"/>
    </xf>
    <xf numFmtId="0" fontId="0" fillId="6" borderId="4" xfId="0" applyFill="1" applyBorder="1" applyAlignment="1">
      <alignment horizontal="left" wrapText="1"/>
    </xf>
    <xf numFmtId="164" fontId="0" fillId="6" borderId="4" xfId="0" applyNumberFormat="1" applyFill="1" applyBorder="1" applyAlignment="1">
      <alignment wrapText="1"/>
    </xf>
    <xf numFmtId="164" fontId="6" fillId="6" borderId="4" xfId="0" applyNumberFormat="1" applyFont="1" applyFill="1" applyBorder="1" applyAlignment="1">
      <alignment horizontal="center" wrapText="1"/>
    </xf>
    <xf numFmtId="164" fontId="0" fillId="5" borderId="4" xfId="0" applyNumberFormat="1" applyFill="1" applyBorder="1" applyAlignment="1">
      <alignment wrapText="1"/>
    </xf>
    <xf numFmtId="14" fontId="6" fillId="6" borderId="4" xfId="0" applyNumberFormat="1" applyFont="1" applyFill="1" applyBorder="1" applyAlignment="1">
      <alignment horizontal="center" wrapText="1"/>
    </xf>
    <xf numFmtId="14" fontId="6" fillId="0" borderId="4" xfId="0" applyNumberFormat="1" applyFont="1" applyBorder="1" applyAlignment="1">
      <alignment horizontal="center" wrapText="1"/>
    </xf>
    <xf numFmtId="14" fontId="0" fillId="7" borderId="4" xfId="0" applyNumberFormat="1" applyFill="1" applyBorder="1" applyAlignment="1">
      <alignment horizontal="left" wrapText="1"/>
    </xf>
    <xf numFmtId="0" fontId="0" fillId="7" borderId="4" xfId="0" applyFill="1" applyBorder="1" applyAlignment="1">
      <alignment horizontal="left" wrapText="1"/>
    </xf>
    <xf numFmtId="0" fontId="0" fillId="7" borderId="4" xfId="0" applyFill="1" applyBorder="1" applyAlignment="1">
      <alignment wrapText="1"/>
    </xf>
    <xf numFmtId="164" fontId="0" fillId="7" borderId="4" xfId="0" applyNumberFormat="1" applyFill="1" applyBorder="1" applyAlignment="1">
      <alignment wrapText="1"/>
    </xf>
    <xf numFmtId="164" fontId="9" fillId="0" borderId="4" xfId="0" applyNumberFormat="1" applyFont="1" applyBorder="1" applyAlignment="1">
      <alignment wrapText="1"/>
    </xf>
    <xf numFmtId="14" fontId="0" fillId="7" borderId="4" xfId="0" applyNumberFormat="1" applyFill="1" applyBorder="1" applyAlignment="1">
      <alignment wrapText="1"/>
    </xf>
    <xf numFmtId="0" fontId="0" fillId="7" borderId="4" xfId="0" applyFill="1" applyBorder="1" applyAlignment="1">
      <alignment horizontal="center" wrapText="1"/>
    </xf>
    <xf numFmtId="164" fontId="10" fillId="0" borderId="4" xfId="0" applyNumberFormat="1" applyFont="1" applyBorder="1" applyAlignment="1">
      <alignment wrapText="1"/>
    </xf>
    <xf numFmtId="49" fontId="0" fillId="0" borderId="4" xfId="0" applyNumberFormat="1" applyBorder="1" applyAlignment="1">
      <alignment wrapText="1"/>
    </xf>
    <xf numFmtId="14" fontId="0" fillId="5" borderId="4" xfId="0" applyNumberFormat="1" applyFill="1" applyBorder="1" applyAlignment="1">
      <alignment wrapText="1"/>
    </xf>
    <xf numFmtId="0" fontId="0" fillId="5" borderId="4" xfId="0" applyFill="1" applyBorder="1" applyAlignment="1">
      <alignment horizontal="left" wrapText="1"/>
    </xf>
    <xf numFmtId="0" fontId="0" fillId="5" borderId="4" xfId="0" applyFill="1" applyBorder="1" applyAlignment="1">
      <alignment wrapText="1"/>
    </xf>
    <xf numFmtId="164" fontId="0" fillId="5" borderId="4" xfId="0" applyNumberFormat="1" applyFill="1" applyBorder="1" applyAlignment="1">
      <alignment horizontal="center" wrapText="1"/>
    </xf>
    <xf numFmtId="164" fontId="0" fillId="0" borderId="5" xfId="0" applyNumberFormat="1" applyBorder="1" applyAlignment="1">
      <alignment horizontal="left" wrapText="1"/>
    </xf>
    <xf numFmtId="164" fontId="0" fillId="0" borderId="4" xfId="0" applyNumberFormat="1" applyBorder="1" applyAlignment="1">
      <alignment horizontal="center" wrapText="1"/>
    </xf>
    <xf numFmtId="17" fontId="8" fillId="0" borderId="16" xfId="0" applyNumberFormat="1" applyFont="1" applyBorder="1" applyAlignment="1">
      <alignment horizontal="left" wrapText="1"/>
    </xf>
    <xf numFmtId="0" fontId="0" fillId="0" borderId="4" xfId="0" applyBorder="1" applyAlignment="1">
      <alignment wrapText="1"/>
    </xf>
    <xf numFmtId="0" fontId="6" fillId="0" borderId="4" xfId="0" applyFont="1" applyBorder="1" applyAlignment="1">
      <alignment wrapText="1"/>
    </xf>
    <xf numFmtId="0" fontId="0" fillId="0" borderId="5" xfId="0" applyBorder="1" applyAlignment="1">
      <alignment horizontal="left" wrapText="1"/>
    </xf>
    <xf numFmtId="17" fontId="8" fillId="5" borderId="16" xfId="0" applyNumberFormat="1" applyFont="1" applyFill="1" applyBorder="1" applyAlignment="1">
      <alignment horizontal="left" wrapText="1"/>
    </xf>
    <xf numFmtId="0" fontId="6" fillId="5" borderId="4" xfId="0" applyFont="1" applyFill="1" applyBorder="1" applyAlignment="1">
      <alignment wrapText="1"/>
    </xf>
    <xf numFmtId="0" fontId="6" fillId="5" borderId="4" xfId="0" applyFont="1" applyFill="1" applyBorder="1" applyAlignment="1">
      <alignment horizontal="left" wrapText="1"/>
    </xf>
    <xf numFmtId="164" fontId="6" fillId="5" borderId="4" xfId="0" applyNumberFormat="1" applyFont="1" applyFill="1" applyBorder="1" applyAlignment="1">
      <alignment wrapText="1"/>
    </xf>
    <xf numFmtId="0" fontId="6" fillId="0" borderId="5" xfId="0" applyFont="1" applyBorder="1" applyAlignment="1">
      <alignment wrapText="1"/>
    </xf>
    <xf numFmtId="164" fontId="6" fillId="0" borderId="4" xfId="0" applyNumberFormat="1" applyFont="1" applyBorder="1" applyAlignment="1">
      <alignment wrapText="1"/>
    </xf>
    <xf numFmtId="49" fontId="0" fillId="0" borderId="4" xfId="0" applyNumberFormat="1" applyBorder="1" applyAlignment="1">
      <alignment horizontal="left" wrapText="1"/>
    </xf>
    <xf numFmtId="0" fontId="0" fillId="0" borderId="4" xfId="0" applyBorder="1" applyAlignment="1">
      <alignment horizontal="center" vertical="center" wrapText="1"/>
    </xf>
    <xf numFmtId="164" fontId="11" fillId="0" borderId="0" xfId="0" applyNumberFormat="1" applyFont="1"/>
    <xf numFmtId="49" fontId="0" fillId="0" borderId="4" xfId="0" applyNumberFormat="1" applyBorder="1" applyAlignment="1">
      <alignment horizontal="center" vertical="center" wrapText="1"/>
    </xf>
    <xf numFmtId="164" fontId="0" fillId="0" borderId="0" xfId="0" applyNumberFormat="1"/>
    <xf numFmtId="49" fontId="6" fillId="5" borderId="4" xfId="0" applyNumberFormat="1" applyFont="1" applyFill="1" applyBorder="1" applyAlignment="1">
      <alignment wrapText="1"/>
    </xf>
    <xf numFmtId="49" fontId="6" fillId="5" borderId="4" xfId="0" applyNumberFormat="1" applyFont="1" applyFill="1" applyBorder="1" applyAlignment="1">
      <alignment horizontal="left" wrapText="1"/>
    </xf>
    <xf numFmtId="164" fontId="0" fillId="0" borderId="4" xfId="0" applyNumberFormat="1" applyBorder="1" applyAlignment="1">
      <alignment horizontal="right" wrapText="1"/>
    </xf>
    <xf numFmtId="49" fontId="6" fillId="0" borderId="4" xfId="0" applyNumberFormat="1" applyFont="1" applyBorder="1" applyAlignment="1">
      <alignment horizontal="left" wrapText="1"/>
    </xf>
    <xf numFmtId="166" fontId="0" fillId="0" borderId="4" xfId="0" applyNumberFormat="1" applyBorder="1" applyAlignment="1">
      <alignment wrapText="1"/>
    </xf>
    <xf numFmtId="166" fontId="10" fillId="0" borderId="4" xfId="0" applyNumberFormat="1" applyFont="1" applyBorder="1" applyAlignment="1">
      <alignment wrapText="1"/>
    </xf>
    <xf numFmtId="166" fontId="6" fillId="0" borderId="4" xfId="0" applyNumberFormat="1" applyFont="1" applyBorder="1" applyAlignment="1">
      <alignment horizontal="left" wrapText="1"/>
    </xf>
    <xf numFmtId="166" fontId="0" fillId="0" borderId="4" xfId="0" applyNumberFormat="1" applyBorder="1" applyAlignment="1">
      <alignment horizontal="center" vertical="center" wrapText="1"/>
    </xf>
    <xf numFmtId="17" fontId="12" fillId="0" borderId="16" xfId="0" applyNumberFormat="1" applyFont="1" applyBorder="1" applyAlignment="1">
      <alignment horizontal="left" wrapText="1"/>
    </xf>
    <xf numFmtId="168" fontId="9" fillId="0" borderId="4" xfId="0" applyNumberFormat="1" applyFont="1" applyBorder="1" applyAlignment="1">
      <alignment wrapText="1"/>
    </xf>
    <xf numFmtId="166" fontId="0" fillId="0" borderId="4" xfId="0" applyNumberFormat="1" applyBorder="1" applyAlignment="1">
      <alignment horizontal="left" wrapText="1"/>
    </xf>
    <xf numFmtId="49" fontId="6" fillId="0" borderId="4" xfId="0" applyNumberFormat="1" applyFont="1" applyBorder="1" applyAlignment="1">
      <alignment horizontal="center" wrapText="1"/>
    </xf>
    <xf numFmtId="49" fontId="6" fillId="5" borderId="4" xfId="0" applyNumberFormat="1" applyFont="1" applyFill="1" applyBorder="1" applyAlignment="1">
      <alignment horizontal="center" wrapText="1"/>
    </xf>
    <xf numFmtId="166" fontId="0" fillId="5" borderId="4" xfId="0" applyNumberFormat="1" applyFill="1" applyBorder="1" applyAlignment="1">
      <alignment wrapText="1"/>
    </xf>
    <xf numFmtId="166" fontId="0" fillId="5" borderId="4" xfId="0" applyNumberFormat="1" applyFill="1" applyBorder="1" applyAlignment="1">
      <alignment horizontal="left" wrapText="1"/>
    </xf>
    <xf numFmtId="168" fontId="10" fillId="0" borderId="4" xfId="0" applyNumberFormat="1" applyFont="1" applyBorder="1" applyAlignment="1">
      <alignment wrapText="1"/>
    </xf>
    <xf numFmtId="168" fontId="0" fillId="0" borderId="4" xfId="0" applyNumberFormat="1" applyBorder="1" applyAlignment="1">
      <alignment wrapText="1"/>
    </xf>
    <xf numFmtId="14" fontId="6" fillId="0" borderId="4" xfId="0" applyNumberFormat="1" applyFont="1" applyBorder="1" applyAlignment="1">
      <alignment horizontal="left" wrapText="1"/>
    </xf>
    <xf numFmtId="166" fontId="6" fillId="0" borderId="4" xfId="0" applyNumberFormat="1" applyFont="1" applyBorder="1" applyAlignment="1">
      <alignment wrapText="1"/>
    </xf>
    <xf numFmtId="14" fontId="6" fillId="5" borderId="4" xfId="0" applyNumberFormat="1" applyFont="1" applyFill="1" applyBorder="1" applyAlignment="1">
      <alignment horizontal="left" wrapText="1"/>
    </xf>
    <xf numFmtId="166" fontId="6" fillId="5" borderId="4" xfId="0" applyNumberFormat="1" applyFont="1" applyFill="1" applyBorder="1" applyAlignment="1">
      <alignment wrapText="1"/>
    </xf>
    <xf numFmtId="166" fontId="0" fillId="7" borderId="4" xfId="0" applyNumberFormat="1" applyFill="1" applyBorder="1" applyAlignment="1">
      <alignment horizontal="left" wrapText="1"/>
    </xf>
    <xf numFmtId="17" fontId="8" fillId="0" borderId="11" xfId="0" applyNumberFormat="1" applyFont="1" applyBorder="1" applyAlignment="1">
      <alignment horizontal="left" wrapText="1"/>
    </xf>
    <xf numFmtId="14" fontId="0" fillId="0" borderId="7" xfId="0" applyNumberFormat="1" applyBorder="1" applyAlignment="1">
      <alignment horizontal="left" wrapText="1"/>
    </xf>
    <xf numFmtId="0" fontId="0" fillId="0" borderId="7" xfId="0" applyBorder="1" applyAlignment="1">
      <alignment horizontal="left" wrapText="1"/>
    </xf>
    <xf numFmtId="166" fontId="0" fillId="0" borderId="7" xfId="0" applyNumberFormat="1" applyBorder="1" applyAlignment="1">
      <alignment wrapText="1"/>
    </xf>
    <xf numFmtId="49" fontId="0" fillId="0" borderId="7" xfId="0" applyNumberFormat="1" applyBorder="1" applyAlignment="1">
      <alignment horizontal="left" wrapText="1"/>
    </xf>
    <xf numFmtId="49" fontId="0" fillId="0" borderId="7" xfId="0" applyNumberFormat="1" applyBorder="1" applyAlignment="1">
      <alignment wrapText="1"/>
    </xf>
    <xf numFmtId="0" fontId="0" fillId="7" borderId="7" xfId="0" applyFill="1" applyBorder="1" applyAlignment="1">
      <alignment horizontal="left" wrapText="1"/>
    </xf>
    <xf numFmtId="164" fontId="0" fillId="0" borderId="7" xfId="0" applyNumberFormat="1" applyBorder="1" applyAlignment="1">
      <alignment horizontal="left" wrapText="1"/>
    </xf>
    <xf numFmtId="169" fontId="0" fillId="0" borderId="4" xfId="0" applyNumberFormat="1" applyBorder="1" applyAlignment="1">
      <alignment horizontal="left" wrapText="1"/>
    </xf>
    <xf numFmtId="170" fontId="0" fillId="0" borderId="4" xfId="0" applyNumberFormat="1" applyBorder="1" applyAlignment="1">
      <alignment horizontal="left" wrapText="1"/>
    </xf>
    <xf numFmtId="166" fontId="0" fillId="0" borderId="0" xfId="0" applyNumberFormat="1"/>
    <xf numFmtId="166" fontId="0" fillId="0" borderId="0" xfId="0" applyNumberFormat="1" applyAlignment="1">
      <alignment horizontal="center" vertical="center"/>
    </xf>
    <xf numFmtId="169" fontId="0" fillId="7" borderId="4" xfId="0" applyNumberFormat="1" applyFill="1" applyBorder="1" applyAlignment="1">
      <alignment horizontal="left" wrapText="1"/>
    </xf>
    <xf numFmtId="171" fontId="0" fillId="0" borderId="4" xfId="0" applyNumberFormat="1" applyBorder="1" applyAlignment="1">
      <alignment wrapText="1"/>
    </xf>
    <xf numFmtId="49" fontId="6" fillId="0" borderId="7" xfId="0" applyNumberFormat="1" applyFont="1" applyBorder="1" applyAlignment="1">
      <alignment wrapText="1"/>
    </xf>
    <xf numFmtId="164" fontId="0" fillId="0" borderId="7" xfId="0" applyNumberFormat="1" applyBorder="1" applyAlignment="1">
      <alignment wrapText="1"/>
    </xf>
    <xf numFmtId="14" fontId="13" fillId="0" borderId="0" xfId="0" applyNumberFormat="1" applyFont="1" applyAlignment="1">
      <alignment horizontal="left"/>
    </xf>
    <xf numFmtId="14" fontId="6" fillId="0" borderId="7" xfId="0" applyNumberFormat="1" applyFont="1" applyBorder="1" applyAlignment="1">
      <alignment horizontal="left" wrapText="1"/>
    </xf>
    <xf numFmtId="166" fontId="6" fillId="0" borderId="7" xfId="0" applyNumberFormat="1" applyFont="1" applyBorder="1" applyAlignment="1">
      <alignment wrapText="1"/>
    </xf>
    <xf numFmtId="166" fontId="0" fillId="3" borderId="4" xfId="0" applyNumberFormat="1" applyFill="1" applyBorder="1" applyAlignment="1">
      <alignment horizontal="right" wrapText="1"/>
    </xf>
    <xf numFmtId="166" fontId="0" fillId="3" borderId="4" xfId="0" applyNumberFormat="1" applyFill="1" applyBorder="1" applyAlignment="1">
      <alignment wrapText="1"/>
    </xf>
    <xf numFmtId="164" fontId="6" fillId="0" borderId="7" xfId="0" applyNumberFormat="1" applyFont="1" applyBorder="1" applyAlignment="1">
      <alignment wrapText="1"/>
    </xf>
    <xf numFmtId="17" fontId="8" fillId="0" borderId="0" xfId="0" applyNumberFormat="1" applyFont="1" applyAlignment="1">
      <alignment horizontal="left" wrapText="1"/>
    </xf>
    <xf numFmtId="49" fontId="6" fillId="0" borderId="7" xfId="0" applyNumberFormat="1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0" fontId="5" fillId="7" borderId="0" xfId="0" applyFont="1" applyFill="1" applyAlignment="1">
      <alignment horizontal="center" vertical="center" wrapText="1"/>
    </xf>
    <xf numFmtId="172" fontId="0" fillId="7" borderId="0" xfId="0" applyNumberFormat="1" applyFill="1"/>
    <xf numFmtId="0" fontId="0" fillId="7" borderId="0" xfId="0" applyFill="1"/>
    <xf numFmtId="172" fontId="6" fillId="4" borderId="14" xfId="0" applyNumberFormat="1" applyFont="1" applyFill="1" applyBorder="1" applyAlignment="1">
      <alignment horizontal="center" vertical="center"/>
    </xf>
    <xf numFmtId="164" fontId="0" fillId="4" borderId="15" xfId="0" applyNumberFormat="1" applyFill="1" applyBorder="1" applyAlignment="1">
      <alignment horizontal="center" vertical="center"/>
    </xf>
    <xf numFmtId="172" fontId="0" fillId="0" borderId="4" xfId="0" applyNumberFormat="1" applyBorder="1" applyAlignment="1">
      <alignment horizontal="left" wrapText="1"/>
    </xf>
    <xf numFmtId="166" fontId="6" fillId="0" borderId="4" xfId="0" applyNumberFormat="1" applyFont="1" applyBorder="1" applyAlignment="1">
      <alignment horizontal="center" wrapText="1"/>
    </xf>
    <xf numFmtId="164" fontId="6" fillId="0" borderId="4" xfId="0" applyNumberFormat="1" applyFont="1" applyBorder="1" applyAlignment="1">
      <alignment horizontal="center" wrapText="1"/>
    </xf>
    <xf numFmtId="167" fontId="0" fillId="8" borderId="5" xfId="0" applyNumberFormat="1" applyFill="1" applyBorder="1" applyAlignment="1">
      <alignment wrapText="1"/>
    </xf>
    <xf numFmtId="17" fontId="8" fillId="3" borderId="4" xfId="0" applyNumberFormat="1" applyFont="1" applyFill="1" applyBorder="1" applyAlignment="1">
      <alignment horizontal="left" wrapText="1"/>
    </xf>
    <xf numFmtId="172" fontId="0" fillId="3" borderId="4" xfId="0" applyNumberFormat="1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167" fontId="0" fillId="3" borderId="5" xfId="0" applyNumberFormat="1" applyFill="1" applyBorder="1" applyAlignment="1">
      <alignment wrapText="1"/>
    </xf>
    <xf numFmtId="166" fontId="0" fillId="0" borderId="4" xfId="0" applyNumberFormat="1" applyBorder="1" applyAlignment="1">
      <alignment horizontal="center" wrapText="1"/>
    </xf>
    <xf numFmtId="167" fontId="0" fillId="9" borderId="5" xfId="0" applyNumberFormat="1" applyFill="1" applyBorder="1" applyAlignment="1">
      <alignment wrapText="1"/>
    </xf>
    <xf numFmtId="172" fontId="0" fillId="6" borderId="4" xfId="0" applyNumberFormat="1" applyFill="1" applyBorder="1" applyAlignment="1">
      <alignment horizontal="left" wrapText="1"/>
    </xf>
    <xf numFmtId="166" fontId="0" fillId="6" borderId="4" xfId="0" applyNumberFormat="1" applyFill="1" applyBorder="1" applyAlignment="1">
      <alignment wrapText="1"/>
    </xf>
    <xf numFmtId="166" fontId="6" fillId="6" borderId="4" xfId="0" applyNumberFormat="1" applyFont="1" applyFill="1" applyBorder="1" applyAlignment="1">
      <alignment horizontal="center" wrapText="1"/>
    </xf>
    <xf numFmtId="167" fontId="0" fillId="6" borderId="5" xfId="0" applyNumberFormat="1" applyFill="1" applyBorder="1" applyAlignment="1">
      <alignment wrapText="1"/>
    </xf>
    <xf numFmtId="0" fontId="0" fillId="3" borderId="4" xfId="0" applyFill="1" applyBorder="1" applyAlignment="1">
      <alignment wrapText="1"/>
    </xf>
    <xf numFmtId="172" fontId="0" fillId="7" borderId="4" xfId="0" applyNumberFormat="1" applyFill="1" applyBorder="1" applyAlignment="1">
      <alignment horizontal="left" wrapText="1"/>
    </xf>
    <xf numFmtId="166" fontId="0" fillId="7" borderId="4" xfId="0" applyNumberFormat="1" applyFill="1" applyBorder="1" applyAlignment="1">
      <alignment wrapText="1"/>
    </xf>
    <xf numFmtId="166" fontId="0" fillId="7" borderId="4" xfId="0" applyNumberFormat="1" applyFill="1" applyBorder="1" applyAlignment="1">
      <alignment horizontal="center" wrapText="1"/>
    </xf>
    <xf numFmtId="164" fontId="0" fillId="7" borderId="4" xfId="0" applyNumberFormat="1" applyFill="1" applyBorder="1" applyAlignment="1">
      <alignment horizontal="center" wrapText="1"/>
    </xf>
    <xf numFmtId="167" fontId="0" fillId="7" borderId="5" xfId="0" applyNumberFormat="1" applyFill="1" applyBorder="1" applyAlignment="1">
      <alignment wrapText="1"/>
    </xf>
    <xf numFmtId="166" fontId="6" fillId="7" borderId="4" xfId="0" applyNumberFormat="1" applyFont="1" applyFill="1" applyBorder="1" applyAlignment="1">
      <alignment wrapText="1"/>
    </xf>
    <xf numFmtId="0" fontId="6" fillId="7" borderId="4" xfId="0" applyFont="1" applyFill="1" applyBorder="1" applyAlignment="1">
      <alignment wrapText="1"/>
    </xf>
    <xf numFmtId="172" fontId="0" fillId="5" borderId="4" xfId="0" applyNumberFormat="1" applyFill="1" applyBorder="1" applyAlignment="1">
      <alignment horizontal="left" wrapText="1"/>
    </xf>
    <xf numFmtId="167" fontId="0" fillId="5" borderId="5" xfId="0" applyNumberFormat="1" applyFill="1" applyBorder="1" applyAlignment="1">
      <alignment wrapText="1"/>
    </xf>
    <xf numFmtId="164" fontId="0" fillId="8" borderId="5" xfId="0" applyNumberFormat="1" applyFill="1" applyBorder="1" applyAlignment="1">
      <alignment wrapText="1"/>
    </xf>
    <xf numFmtId="17" fontId="8" fillId="3" borderId="16" xfId="0" applyNumberFormat="1" applyFont="1" applyFill="1" applyBorder="1" applyAlignment="1">
      <alignment horizontal="left" wrapText="1"/>
    </xf>
    <xf numFmtId="14" fontId="6" fillId="0" borderId="4" xfId="0" applyNumberFormat="1" applyFont="1" applyBorder="1" applyAlignment="1">
      <alignment wrapText="1"/>
    </xf>
    <xf numFmtId="172" fontId="6" fillId="5" borderId="4" xfId="0" applyNumberFormat="1" applyFont="1" applyFill="1" applyBorder="1" applyAlignment="1">
      <alignment horizontal="left" wrapText="1"/>
    </xf>
    <xf numFmtId="0" fontId="6" fillId="5" borderId="5" xfId="0" applyFont="1" applyFill="1" applyBorder="1" applyAlignment="1">
      <alignment wrapText="1"/>
    </xf>
    <xf numFmtId="0" fontId="0" fillId="8" borderId="5" xfId="0" applyFill="1" applyBorder="1" applyAlignment="1">
      <alignment wrapText="1"/>
    </xf>
    <xf numFmtId="0" fontId="0" fillId="0" borderId="5" xfId="0" applyBorder="1" applyAlignment="1">
      <alignment wrapText="1"/>
    </xf>
    <xf numFmtId="166" fontId="11" fillId="3" borderId="0" xfId="0" applyNumberFormat="1" applyFont="1" applyFill="1"/>
    <xf numFmtId="166" fontId="0" fillId="3" borderId="0" xfId="0" applyNumberFormat="1" applyFill="1"/>
    <xf numFmtId="166" fontId="6" fillId="3" borderId="4" xfId="0" applyNumberFormat="1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0" fillId="3" borderId="5" xfId="0" applyFill="1" applyBorder="1" applyAlignment="1">
      <alignment wrapText="1"/>
    </xf>
    <xf numFmtId="164" fontId="0" fillId="0" borderId="4" xfId="0" applyNumberFormat="1" applyBorder="1" applyAlignment="1">
      <alignment horizontal="left" wrapText="1"/>
    </xf>
    <xf numFmtId="164" fontId="0" fillId="0" borderId="5" xfId="0" applyNumberFormat="1" applyBorder="1" applyAlignment="1">
      <alignment wrapText="1"/>
    </xf>
    <xf numFmtId="170" fontId="0" fillId="3" borderId="4" xfId="0" applyNumberFormat="1" applyFill="1" applyBorder="1" applyAlignment="1">
      <alignment horizontal="left" wrapText="1"/>
    </xf>
    <xf numFmtId="166" fontId="0" fillId="3" borderId="4" xfId="0" applyNumberFormat="1" applyFill="1" applyBorder="1" applyAlignment="1">
      <alignment horizontal="left" wrapText="1"/>
    </xf>
    <xf numFmtId="164" fontId="0" fillId="3" borderId="4" xfId="0" applyNumberFormat="1" applyFill="1" applyBorder="1" applyAlignment="1">
      <alignment horizontal="left" wrapText="1"/>
    </xf>
    <xf numFmtId="170" fontId="0" fillId="5" borderId="4" xfId="0" applyNumberFormat="1" applyFill="1" applyBorder="1" applyAlignment="1">
      <alignment horizontal="left" wrapText="1"/>
    </xf>
    <xf numFmtId="0" fontId="0" fillId="5" borderId="5" xfId="0" applyFill="1" applyBorder="1" applyAlignment="1">
      <alignment wrapText="1"/>
    </xf>
    <xf numFmtId="17" fontId="6" fillId="3" borderId="4" xfId="0" applyNumberFormat="1" applyFont="1" applyFill="1" applyBorder="1" applyAlignment="1">
      <alignment horizontal="left" wrapText="1"/>
    </xf>
    <xf numFmtId="17" fontId="6" fillId="0" borderId="4" xfId="0" applyNumberFormat="1" applyFont="1" applyBorder="1" applyAlignment="1">
      <alignment horizontal="left" wrapText="1"/>
    </xf>
    <xf numFmtId="17" fontId="6" fillId="7" borderId="4" xfId="0" applyNumberFormat="1" applyFont="1" applyFill="1" applyBorder="1" applyAlignment="1">
      <alignment horizontal="left" wrapText="1"/>
    </xf>
    <xf numFmtId="172" fontId="0" fillId="0" borderId="7" xfId="0" applyNumberFormat="1" applyBorder="1" applyAlignment="1">
      <alignment horizontal="left" wrapText="1"/>
    </xf>
    <xf numFmtId="0" fontId="0" fillId="0" borderId="7" xfId="0" applyBorder="1" applyAlignment="1">
      <alignment wrapText="1"/>
    </xf>
    <xf numFmtId="172" fontId="0" fillId="3" borderId="7" xfId="0" applyNumberFormat="1" applyFill="1" applyBorder="1" applyAlignment="1">
      <alignment horizontal="left" wrapText="1"/>
    </xf>
    <xf numFmtId="0" fontId="0" fillId="3" borderId="7" xfId="0" applyFill="1" applyBorder="1" applyAlignment="1">
      <alignment horizontal="left" wrapText="1"/>
    </xf>
    <xf numFmtId="0" fontId="0" fillId="3" borderId="7" xfId="0" applyFill="1" applyBorder="1" applyAlignment="1">
      <alignment wrapText="1"/>
    </xf>
    <xf numFmtId="166" fontId="0" fillId="3" borderId="7" xfId="0" applyNumberFormat="1" applyFill="1" applyBorder="1" applyAlignment="1">
      <alignment horizontal="left" wrapText="1"/>
    </xf>
    <xf numFmtId="164" fontId="0" fillId="3" borderId="7" xfId="0" applyNumberFormat="1" applyFill="1" applyBorder="1" applyAlignment="1">
      <alignment wrapText="1"/>
    </xf>
    <xf numFmtId="17" fontId="6" fillId="5" borderId="4" xfId="0" applyNumberFormat="1" applyFont="1" applyFill="1" applyBorder="1" applyAlignment="1">
      <alignment horizontal="left" wrapText="1"/>
    </xf>
    <xf numFmtId="17" fontId="6" fillId="3" borderId="7" xfId="0" applyNumberFormat="1" applyFont="1" applyFill="1" applyBorder="1" applyAlignment="1">
      <alignment horizontal="left" wrapText="1"/>
    </xf>
    <xf numFmtId="17" fontId="6" fillId="7" borderId="7" xfId="0" applyNumberFormat="1" applyFont="1" applyFill="1" applyBorder="1" applyAlignment="1">
      <alignment horizontal="left" wrapText="1"/>
    </xf>
    <xf numFmtId="170" fontId="0" fillId="0" borderId="4" xfId="0" applyNumberForma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12" xfId="0" applyFont="1" applyBorder="1" applyAlignment="1">
      <alignment wrapText="1"/>
    </xf>
    <xf numFmtId="166" fontId="0" fillId="0" borderId="7" xfId="0" applyNumberFormat="1" applyBorder="1" applyAlignment="1">
      <alignment horizontal="left" wrapText="1"/>
    </xf>
    <xf numFmtId="166" fontId="0" fillId="3" borderId="7" xfId="0" applyNumberFormat="1" applyFill="1" applyBorder="1" applyAlignment="1">
      <alignment wrapText="1"/>
    </xf>
    <xf numFmtId="0" fontId="11" fillId="0" borderId="11" xfId="0" applyFont="1" applyBorder="1" applyAlignment="1">
      <alignment horizontal="left" wrapText="1"/>
    </xf>
    <xf numFmtId="172" fontId="11" fillId="0" borderId="11" xfId="0" applyNumberFormat="1" applyFont="1" applyBorder="1" applyAlignment="1">
      <alignment horizontal="left" wrapText="1"/>
    </xf>
    <xf numFmtId="0" fontId="11" fillId="0" borderId="11" xfId="0" applyFont="1" applyBorder="1" applyAlignment="1">
      <alignment wrapText="1"/>
    </xf>
    <xf numFmtId="166" fontId="14" fillId="0" borderId="11" xfId="0" applyNumberFormat="1" applyFont="1" applyBorder="1" applyAlignment="1">
      <alignment wrapText="1"/>
    </xf>
    <xf numFmtId="166" fontId="11" fillId="0" borderId="11" xfId="0" applyNumberFormat="1" applyFont="1" applyBorder="1" applyAlignment="1">
      <alignment wrapText="1"/>
    </xf>
    <xf numFmtId="17" fontId="6" fillId="5" borderId="7" xfId="0" applyNumberFormat="1" applyFont="1" applyFill="1" applyBorder="1" applyAlignment="1">
      <alignment horizontal="left" wrapText="1"/>
    </xf>
    <xf numFmtId="172" fontId="0" fillId="5" borderId="7" xfId="0" applyNumberFormat="1" applyFill="1" applyBorder="1" applyAlignment="1">
      <alignment horizontal="left" wrapText="1"/>
    </xf>
    <xf numFmtId="0" fontId="6" fillId="5" borderId="7" xfId="0" applyFont="1" applyFill="1" applyBorder="1" applyAlignment="1">
      <alignment horizontal="left" wrapText="1"/>
    </xf>
    <xf numFmtId="166" fontId="6" fillId="5" borderId="7" xfId="0" applyNumberFormat="1" applyFont="1" applyFill="1" applyBorder="1" applyAlignment="1">
      <alignment horizontal="left" wrapText="1"/>
    </xf>
    <xf numFmtId="164" fontId="6" fillId="5" borderId="7" xfId="0" applyNumberFormat="1" applyFont="1" applyFill="1" applyBorder="1" applyAlignment="1">
      <alignment wrapText="1"/>
    </xf>
    <xf numFmtId="166" fontId="6" fillId="5" borderId="7" xfId="0" applyNumberFormat="1" applyFont="1" applyFill="1" applyBorder="1" applyAlignment="1">
      <alignment wrapText="1"/>
    </xf>
    <xf numFmtId="0" fontId="6" fillId="5" borderId="7" xfId="0" applyFont="1" applyFill="1" applyBorder="1" applyAlignment="1">
      <alignment wrapText="1"/>
    </xf>
    <xf numFmtId="17" fontId="6" fillId="0" borderId="7" xfId="0" applyNumberFormat="1" applyFont="1" applyBorder="1" applyAlignment="1">
      <alignment horizontal="left" wrapText="1"/>
    </xf>
    <xf numFmtId="167" fontId="0" fillId="0" borderId="5" xfId="0" applyNumberFormat="1" applyBorder="1" applyAlignment="1">
      <alignment wrapText="1"/>
    </xf>
    <xf numFmtId="0" fontId="11" fillId="3" borderId="11" xfId="0" applyFont="1" applyFill="1" applyBorder="1" applyAlignment="1">
      <alignment horizontal="left" wrapText="1"/>
    </xf>
    <xf numFmtId="166" fontId="6" fillId="3" borderId="7" xfId="0" applyNumberFormat="1" applyFont="1" applyFill="1" applyBorder="1" applyAlignment="1">
      <alignment wrapText="1"/>
    </xf>
    <xf numFmtId="166" fontId="6" fillId="0" borderId="5" xfId="0" applyNumberFormat="1" applyFont="1" applyBorder="1" applyAlignment="1">
      <alignment wrapText="1"/>
    </xf>
    <xf numFmtId="14" fontId="0" fillId="3" borderId="4" xfId="0" applyNumberFormat="1" applyFill="1" applyBorder="1" applyAlignment="1">
      <alignment wrapText="1"/>
    </xf>
    <xf numFmtId="166" fontId="0" fillId="0" borderId="5" xfId="0" applyNumberFormat="1" applyBorder="1" applyAlignment="1">
      <alignment wrapText="1"/>
    </xf>
    <xf numFmtId="166" fontId="0" fillId="0" borderId="5" xfId="0" applyNumberFormat="1" applyBorder="1" applyAlignment="1">
      <alignment horizontal="left" wrapText="1"/>
    </xf>
    <xf numFmtId="166" fontId="0" fillId="0" borderId="12" xfId="0" applyNumberFormat="1" applyBorder="1" applyAlignment="1">
      <alignment horizontal="left" wrapText="1"/>
    </xf>
    <xf numFmtId="172" fontId="0" fillId="0" borderId="4" xfId="0" applyNumberFormat="1" applyBorder="1" applyAlignment="1">
      <alignment wrapText="1"/>
    </xf>
    <xf numFmtId="167" fontId="0" fillId="3" borderId="5" xfId="0" applyNumberFormat="1" applyFill="1" applyBorder="1" applyAlignment="1">
      <alignment horizontal="left" wrapText="1"/>
    </xf>
    <xf numFmtId="166" fontId="0" fillId="3" borderId="7" xfId="0" applyNumberFormat="1" applyFill="1" applyBorder="1" applyAlignment="1">
      <alignment horizontal="center" wrapText="1"/>
    </xf>
    <xf numFmtId="164" fontId="0" fillId="3" borderId="4" xfId="0" applyNumberFormat="1" applyFill="1" applyBorder="1" applyAlignment="1">
      <alignment horizontal="center" wrapText="1"/>
    </xf>
    <xf numFmtId="166" fontId="0" fillId="3" borderId="4" xfId="0" applyNumberFormat="1" applyFill="1" applyBorder="1" applyAlignment="1">
      <alignment horizontal="center" wrapText="1"/>
    </xf>
    <xf numFmtId="166" fontId="6" fillId="0" borderId="7" xfId="0" applyNumberFormat="1" applyFont="1" applyBorder="1" applyAlignment="1">
      <alignment horizontal="center" wrapText="1"/>
    </xf>
    <xf numFmtId="166" fontId="0" fillId="0" borderId="7" xfId="0" applyNumberFormat="1" applyBorder="1" applyAlignment="1">
      <alignment horizontal="center" wrapText="1"/>
    </xf>
    <xf numFmtId="166" fontId="14" fillId="0" borderId="11" xfId="0" applyNumberFormat="1" applyFont="1" applyBorder="1" applyAlignment="1">
      <alignment horizontal="center" wrapText="1"/>
    </xf>
    <xf numFmtId="166" fontId="11" fillId="0" borderId="11" xfId="0" applyNumberFormat="1" applyFont="1" applyBorder="1" applyAlignment="1">
      <alignment horizontal="center" wrapText="1"/>
    </xf>
    <xf numFmtId="14" fontId="0" fillId="3" borderId="4" xfId="0" applyNumberFormat="1" applyFill="1" applyBorder="1" applyAlignment="1">
      <alignment horizontal="left" wrapText="1"/>
    </xf>
    <xf numFmtId="14" fontId="0" fillId="0" borderId="4" xfId="0" applyNumberFormat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7" borderId="7" xfId="0" applyFill="1" applyBorder="1" applyAlignment="1">
      <alignment horizontal="center" wrapText="1"/>
    </xf>
    <xf numFmtId="166" fontId="0" fillId="7" borderId="7" xfId="0" applyNumberFormat="1" applyFill="1" applyBorder="1" applyAlignment="1">
      <alignment horizontal="center" wrapText="1"/>
    </xf>
    <xf numFmtId="0" fontId="0" fillId="7" borderId="12" xfId="0" applyFill="1" applyBorder="1" applyAlignment="1">
      <alignment horizontal="left" wrapText="1"/>
    </xf>
    <xf numFmtId="166" fontId="6" fillId="7" borderId="4" xfId="0" applyNumberFormat="1" applyFont="1" applyFill="1" applyBorder="1" applyAlignment="1">
      <alignment horizontal="center" wrapText="1"/>
    </xf>
    <xf numFmtId="0" fontId="6" fillId="7" borderId="4" xfId="0" applyFont="1" applyFill="1" applyBorder="1" applyAlignment="1">
      <alignment horizontal="center" wrapText="1"/>
    </xf>
    <xf numFmtId="164" fontId="11" fillId="0" borderId="17" xfId="0" applyNumberFormat="1" applyFont="1" applyBorder="1" applyAlignment="1">
      <alignment horizontal="left" wrapText="1"/>
    </xf>
    <xf numFmtId="0" fontId="6" fillId="0" borderId="4" xfId="0" applyFont="1" applyBorder="1" applyAlignment="1">
      <alignment horizontal="center" wrapText="1"/>
    </xf>
    <xf numFmtId="0" fontId="0" fillId="7" borderId="5" xfId="0" applyFill="1" applyBorder="1" applyAlignment="1">
      <alignment horizontal="left" wrapText="1"/>
    </xf>
    <xf numFmtId="172" fontId="6" fillId="5" borderId="7" xfId="0" applyNumberFormat="1" applyFont="1" applyFill="1" applyBorder="1" applyAlignment="1">
      <alignment wrapText="1"/>
    </xf>
    <xf numFmtId="0" fontId="6" fillId="5" borderId="12" xfId="0" applyFont="1" applyFill="1" applyBorder="1" applyAlignment="1">
      <alignment wrapText="1"/>
    </xf>
    <xf numFmtId="168" fontId="15" fillId="3" borderId="4" xfId="0" applyNumberFormat="1" applyFont="1" applyFill="1" applyBorder="1" applyAlignment="1">
      <alignment wrapText="1"/>
    </xf>
    <xf numFmtId="0" fontId="11" fillId="0" borderId="17" xfId="0" applyFont="1" applyBorder="1" applyAlignment="1">
      <alignment horizontal="left" wrapText="1"/>
    </xf>
    <xf numFmtId="172" fontId="6" fillId="0" borderId="4" xfId="0" applyNumberFormat="1" applyFont="1" applyBorder="1" applyAlignment="1">
      <alignment wrapText="1"/>
    </xf>
    <xf numFmtId="0" fontId="6" fillId="0" borderId="4" xfId="0" applyFont="1" applyBorder="1" applyAlignment="1">
      <alignment horizontal="left" wrapText="1"/>
    </xf>
    <xf numFmtId="170" fontId="0" fillId="0" borderId="0" xfId="0" applyNumberFormat="1"/>
    <xf numFmtId="172" fontId="6" fillId="4" borderId="4" xfId="0" applyNumberFormat="1" applyFont="1" applyFill="1" applyBorder="1" applyAlignment="1">
      <alignment horizontal="center" vertical="center"/>
    </xf>
    <xf numFmtId="170" fontId="6" fillId="4" borderId="4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49" fontId="0" fillId="0" borderId="7" xfId="0" applyNumberFormat="1" applyBorder="1" applyAlignment="1">
      <alignment horizontal="center" wrapText="1"/>
    </xf>
    <xf numFmtId="49" fontId="11" fillId="0" borderId="11" xfId="0" applyNumberFormat="1" applyFont="1" applyBorder="1" applyAlignment="1">
      <alignment horizontal="center" wrapText="1"/>
    </xf>
    <xf numFmtId="168" fontId="15" fillId="0" borderId="4" xfId="0" applyNumberFormat="1" applyFont="1" applyBorder="1" applyAlignment="1">
      <alignment wrapText="1"/>
    </xf>
    <xf numFmtId="49" fontId="15" fillId="0" borderId="4" xfId="0" applyNumberFormat="1" applyFont="1" applyBorder="1" applyAlignment="1">
      <alignment wrapText="1"/>
    </xf>
    <xf numFmtId="167" fontId="0" fillId="0" borderId="18" xfId="0" applyNumberFormat="1" applyBorder="1" applyAlignment="1">
      <alignment horizontal="left" wrapText="1"/>
    </xf>
    <xf numFmtId="167" fontId="0" fillId="0" borderId="15" xfId="0" applyNumberFormat="1" applyBorder="1" applyAlignment="1">
      <alignment horizontal="left" wrapText="1"/>
    </xf>
    <xf numFmtId="0" fontId="6" fillId="0" borderId="15" xfId="0" applyFont="1" applyBorder="1" applyAlignment="1">
      <alignment wrapText="1"/>
    </xf>
    <xf numFmtId="167" fontId="0" fillId="0" borderId="19" xfId="0" applyNumberFormat="1" applyBorder="1" applyAlignment="1">
      <alignment horizontal="left" wrapText="1"/>
    </xf>
    <xf numFmtId="164" fontId="0" fillId="9" borderId="5" xfId="0" applyNumberFormat="1" applyFill="1" applyBorder="1" applyAlignment="1">
      <alignment horizontal="left" wrapText="1"/>
    </xf>
    <xf numFmtId="164" fontId="6" fillId="3" borderId="5" xfId="0" applyNumberFormat="1" applyFont="1" applyFill="1" applyBorder="1" applyAlignment="1">
      <alignment wrapText="1"/>
    </xf>
    <xf numFmtId="165" fontId="0" fillId="0" borderId="0" xfId="0" applyNumberFormat="1"/>
    <xf numFmtId="173" fontId="0" fillId="0" borderId="0" xfId="0" applyNumberFormat="1"/>
    <xf numFmtId="0" fontId="6" fillId="0" borderId="20" xfId="0" applyFont="1" applyBorder="1" applyAlignment="1">
      <alignment horizontal="right"/>
    </xf>
    <xf numFmtId="164" fontId="6" fillId="0" borderId="21" xfId="0" applyNumberFormat="1" applyFont="1" applyBorder="1"/>
    <xf numFmtId="167" fontId="0" fillId="0" borderId="0" xfId="0" applyNumberFormat="1"/>
    <xf numFmtId="0" fontId="6" fillId="4" borderId="15" xfId="0" applyFont="1" applyFill="1" applyBorder="1" applyAlignment="1">
      <alignment horizontal="center" vertical="center"/>
    </xf>
    <xf numFmtId="174" fontId="0" fillId="0" borderId="4" xfId="0" applyNumberFormat="1" applyBorder="1" applyAlignment="1">
      <alignment wrapText="1"/>
    </xf>
    <xf numFmtId="174" fontId="0" fillId="0" borderId="5" xfId="0" applyNumberFormat="1" applyBorder="1" applyAlignment="1">
      <alignment wrapText="1"/>
    </xf>
    <xf numFmtId="170" fontId="0" fillId="0" borderId="7" xfId="0" applyNumberFormat="1" applyBorder="1" applyAlignment="1">
      <alignment horizontal="left" wrapText="1"/>
    </xf>
    <xf numFmtId="0" fontId="6" fillId="4" borderId="4" xfId="0" applyFont="1" applyFill="1" applyBorder="1" applyAlignment="1">
      <alignment wrapText="1"/>
    </xf>
    <xf numFmtId="14" fontId="6" fillId="4" borderId="4" xfId="0" applyNumberFormat="1" applyFont="1" applyFill="1" applyBorder="1" applyAlignment="1">
      <alignment wrapText="1"/>
    </xf>
    <xf numFmtId="17" fontId="16" fillId="0" borderId="4" xfId="0" applyNumberFormat="1" applyFont="1" applyBorder="1" applyAlignment="1">
      <alignment horizontal="left" wrapText="1"/>
    </xf>
    <xf numFmtId="14" fontId="17" fillId="0" borderId="16" xfId="0" applyNumberFormat="1" applyFont="1" applyBorder="1" applyAlignment="1">
      <alignment horizontal="left" wrapText="1"/>
    </xf>
    <xf numFmtId="0" fontId="17" fillId="0" borderId="16" xfId="0" applyFont="1" applyBorder="1" applyAlignment="1">
      <alignment wrapText="1"/>
    </xf>
    <xf numFmtId="166" fontId="17" fillId="0" borderId="16" xfId="0" applyNumberFormat="1" applyFont="1" applyBorder="1" applyAlignment="1">
      <alignment wrapText="1"/>
    </xf>
    <xf numFmtId="164" fontId="17" fillId="0" borderId="16" xfId="0" applyNumberFormat="1" applyFont="1" applyBorder="1" applyAlignment="1">
      <alignment wrapText="1"/>
    </xf>
    <xf numFmtId="17" fontId="16" fillId="0" borderId="14" xfId="0" applyNumberFormat="1" applyFont="1" applyBorder="1" applyAlignment="1">
      <alignment horizontal="left" wrapText="1"/>
    </xf>
    <xf numFmtId="14" fontId="17" fillId="0" borderId="17" xfId="0" applyNumberFormat="1" applyFont="1" applyBorder="1" applyAlignment="1">
      <alignment horizontal="left" wrapText="1"/>
    </xf>
    <xf numFmtId="0" fontId="17" fillId="0" borderId="17" xfId="0" applyFont="1" applyBorder="1" applyAlignment="1">
      <alignment wrapText="1"/>
    </xf>
    <xf numFmtId="166" fontId="17" fillId="0" borderId="17" xfId="0" applyNumberFormat="1" applyFont="1" applyBorder="1" applyAlignment="1">
      <alignment wrapText="1"/>
    </xf>
    <xf numFmtId="164" fontId="17" fillId="0" borderId="17" xfId="0" applyNumberFormat="1" applyFont="1" applyBorder="1" applyAlignment="1">
      <alignment wrapText="1"/>
    </xf>
    <xf numFmtId="0" fontId="16" fillId="10" borderId="4" xfId="0" applyFont="1" applyFill="1" applyBorder="1" applyAlignment="1">
      <alignment wrapText="1"/>
    </xf>
    <xf numFmtId="166" fontId="16" fillId="10" borderId="16" xfId="0" applyNumberFormat="1" applyFont="1" applyFill="1" applyBorder="1" applyAlignment="1">
      <alignment wrapText="1"/>
    </xf>
    <xf numFmtId="17" fontId="16" fillId="5" borderId="14" xfId="0" applyNumberFormat="1" applyFont="1" applyFill="1" applyBorder="1" applyAlignment="1">
      <alignment horizontal="left" wrapText="1"/>
    </xf>
    <xf numFmtId="164" fontId="17" fillId="5" borderId="17" xfId="0" applyNumberFormat="1" applyFont="1" applyFill="1" applyBorder="1" applyAlignment="1">
      <alignment wrapText="1"/>
    </xf>
    <xf numFmtId="0" fontId="11" fillId="11" borderId="4" xfId="0" applyFont="1" applyFill="1" applyBorder="1" applyAlignment="1">
      <alignment wrapText="1"/>
    </xf>
    <xf numFmtId="14" fontId="17" fillId="5" borderId="17" xfId="0" applyNumberFormat="1" applyFont="1" applyFill="1" applyBorder="1" applyAlignment="1">
      <alignment horizontal="left" wrapText="1"/>
    </xf>
    <xf numFmtId="14" fontId="0" fillId="0" borderId="0" xfId="0" applyNumberFormat="1"/>
    <xf numFmtId="0" fontId="6" fillId="4" borderId="17" xfId="0" applyFont="1" applyFill="1" applyBorder="1" applyAlignment="1">
      <alignment wrapText="1"/>
    </xf>
    <xf numFmtId="14" fontId="6" fillId="4" borderId="14" xfId="0" applyNumberFormat="1" applyFont="1" applyFill="1" applyBorder="1" applyAlignment="1">
      <alignment wrapText="1"/>
    </xf>
    <xf numFmtId="0" fontId="6" fillId="4" borderId="14" xfId="0" applyFont="1" applyFill="1" applyBorder="1" applyAlignment="1">
      <alignment wrapText="1"/>
    </xf>
    <xf numFmtId="0" fontId="6" fillId="4" borderId="15" xfId="0" applyFont="1" applyFill="1" applyBorder="1" applyAlignment="1">
      <alignment wrapText="1"/>
    </xf>
    <xf numFmtId="14" fontId="12" fillId="0" borderId="4" xfId="0" applyNumberFormat="1" applyFont="1" applyBorder="1" applyAlignment="1">
      <alignment horizontal="left" wrapText="1"/>
    </xf>
    <xf numFmtId="0" fontId="12" fillId="8" borderId="4" xfId="0" applyFont="1" applyFill="1" applyBorder="1" applyAlignment="1">
      <alignment wrapText="1"/>
    </xf>
    <xf numFmtId="0" fontId="12" fillId="0" borderId="4" xfId="0" applyFont="1" applyBorder="1" applyAlignment="1">
      <alignment wrapText="1"/>
    </xf>
    <xf numFmtId="164" fontId="12" fillId="0" borderId="4" xfId="0" applyNumberFormat="1" applyFont="1" applyBorder="1" applyAlignment="1">
      <alignment wrapText="1"/>
    </xf>
    <xf numFmtId="0" fontId="12" fillId="12" borderId="4" xfId="0" applyFont="1" applyFill="1" applyBorder="1" applyAlignment="1">
      <alignment wrapText="1"/>
    </xf>
    <xf numFmtId="14" fontId="8" fillId="0" borderId="4" xfId="0" applyNumberFormat="1" applyFont="1" applyBorder="1" applyAlignment="1">
      <alignment wrapText="1"/>
    </xf>
    <xf numFmtId="0" fontId="8" fillId="0" borderId="4" xfId="0" applyFont="1" applyBorder="1" applyAlignment="1">
      <alignment wrapText="1"/>
    </xf>
    <xf numFmtId="164" fontId="8" fillId="0" borderId="4" xfId="0" applyNumberFormat="1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13" borderId="4" xfId="0" applyFont="1" applyFill="1" applyBorder="1" applyAlignment="1">
      <alignment wrapText="1"/>
    </xf>
    <xf numFmtId="164" fontId="8" fillId="13" borderId="4" xfId="0" applyNumberFormat="1" applyFont="1" applyFill="1" applyBorder="1" applyAlignment="1">
      <alignment wrapText="1"/>
    </xf>
    <xf numFmtId="0" fontId="8" fillId="5" borderId="16" xfId="0" applyFont="1" applyFill="1" applyBorder="1" applyAlignment="1">
      <alignment wrapText="1"/>
    </xf>
    <xf numFmtId="14" fontId="12" fillId="5" borderId="4" xfId="0" applyNumberFormat="1" applyFont="1" applyFill="1" applyBorder="1" applyAlignment="1">
      <alignment horizontal="left" wrapText="1"/>
    </xf>
    <xf numFmtId="0" fontId="12" fillId="5" borderId="4" xfId="0" applyFont="1" applyFill="1" applyBorder="1" applyAlignment="1">
      <alignment wrapText="1"/>
    </xf>
    <xf numFmtId="164" fontId="12" fillId="5" borderId="4" xfId="0" applyNumberFormat="1" applyFont="1" applyFill="1" applyBorder="1" applyAlignment="1">
      <alignment wrapText="1"/>
    </xf>
    <xf numFmtId="0" fontId="12" fillId="5" borderId="5" xfId="0" applyFont="1" applyFill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14" borderId="4" xfId="0" applyFont="1" applyFill="1" applyBorder="1" applyAlignment="1">
      <alignment wrapText="1"/>
    </xf>
    <xf numFmtId="14" fontId="12" fillId="0" borderId="4" xfId="0" applyNumberFormat="1" applyFont="1" applyBorder="1" applyAlignment="1">
      <alignment wrapText="1"/>
    </xf>
    <xf numFmtId="14" fontId="12" fillId="5" borderId="4" xfId="0" applyNumberFormat="1" applyFont="1" applyFill="1" applyBorder="1" applyAlignment="1">
      <alignment wrapText="1"/>
    </xf>
    <xf numFmtId="14" fontId="8" fillId="0" borderId="4" xfId="0" applyNumberFormat="1" applyFont="1" applyBorder="1" applyAlignment="1">
      <alignment horizontal="left" wrapText="1"/>
    </xf>
    <xf numFmtId="17" fontId="8" fillId="15" borderId="16" xfId="0" applyNumberFormat="1" applyFont="1" applyFill="1" applyBorder="1" applyAlignment="1">
      <alignment horizontal="left" wrapText="1"/>
    </xf>
    <xf numFmtId="14" fontId="8" fillId="15" borderId="4" xfId="0" applyNumberFormat="1" applyFont="1" applyFill="1" applyBorder="1" applyAlignment="1">
      <alignment horizontal="left" wrapText="1"/>
    </xf>
    <xf numFmtId="0" fontId="12" fillId="15" borderId="4" xfId="0" applyFont="1" applyFill="1" applyBorder="1" applyAlignment="1">
      <alignment wrapText="1"/>
    </xf>
    <xf numFmtId="164" fontId="12" fillId="15" borderId="4" xfId="0" applyNumberFormat="1" applyFont="1" applyFill="1" applyBorder="1" applyAlignment="1">
      <alignment wrapText="1"/>
    </xf>
    <xf numFmtId="0" fontId="8" fillId="15" borderId="4" xfId="0" applyFont="1" applyFill="1" applyBorder="1" applyAlignment="1">
      <alignment wrapText="1"/>
    </xf>
    <xf numFmtId="0" fontId="12" fillId="15" borderId="5" xfId="0" applyFont="1" applyFill="1" applyBorder="1" applyAlignment="1">
      <alignment wrapText="1"/>
    </xf>
    <xf numFmtId="164" fontId="12" fillId="0" borderId="4" xfId="0" applyNumberFormat="1" applyFont="1" applyBorder="1" applyAlignment="1">
      <alignment horizontal="left" wrapText="1"/>
    </xf>
    <xf numFmtId="174" fontId="12" fillId="0" borderId="4" xfId="0" applyNumberFormat="1" applyFont="1" applyBorder="1" applyAlignment="1">
      <alignment wrapText="1"/>
    </xf>
    <xf numFmtId="166" fontId="12" fillId="0" borderId="5" xfId="0" applyNumberFormat="1" applyFont="1" applyBorder="1" applyAlignment="1">
      <alignment wrapText="1"/>
    </xf>
    <xf numFmtId="166" fontId="12" fillId="0" borderId="4" xfId="0" applyNumberFormat="1" applyFont="1" applyBorder="1" applyAlignment="1">
      <alignment wrapText="1"/>
    </xf>
    <xf numFmtId="166" fontId="8" fillId="13" borderId="4" xfId="0" applyNumberFormat="1" applyFont="1" applyFill="1" applyBorder="1" applyAlignment="1">
      <alignment wrapText="1"/>
    </xf>
    <xf numFmtId="166" fontId="12" fillId="5" borderId="4" xfId="0" applyNumberFormat="1" applyFont="1" applyFill="1" applyBorder="1" applyAlignment="1">
      <alignment wrapText="1"/>
    </xf>
    <xf numFmtId="166" fontId="8" fillId="0" borderId="4" xfId="0" applyNumberFormat="1" applyFont="1" applyBorder="1" applyAlignment="1">
      <alignment wrapText="1"/>
    </xf>
    <xf numFmtId="166" fontId="8" fillId="0" borderId="5" xfId="0" applyNumberFormat="1" applyFont="1" applyBorder="1" applyAlignment="1">
      <alignment wrapText="1"/>
    </xf>
    <xf numFmtId="14" fontId="8" fillId="5" borderId="4" xfId="0" applyNumberFormat="1" applyFont="1" applyFill="1" applyBorder="1" applyAlignment="1">
      <alignment wrapText="1"/>
    </xf>
    <xf numFmtId="0" fontId="8" fillId="5" borderId="4" xfId="0" applyFont="1" applyFill="1" applyBorder="1" applyAlignment="1">
      <alignment wrapText="1"/>
    </xf>
    <xf numFmtId="166" fontId="12" fillId="5" borderId="5" xfId="0" applyNumberFormat="1" applyFont="1" applyFill="1" applyBorder="1" applyAlignment="1">
      <alignment wrapText="1"/>
    </xf>
    <xf numFmtId="166" fontId="12" fillId="13" borderId="4" xfId="0" applyNumberFormat="1" applyFont="1" applyFill="1" applyBorder="1" applyAlignment="1">
      <alignment wrapText="1"/>
    </xf>
    <xf numFmtId="0" fontId="8" fillId="0" borderId="16" xfId="0" applyFont="1" applyBorder="1" applyAlignment="1">
      <alignment wrapText="1"/>
    </xf>
    <xf numFmtId="0" fontId="8" fillId="4" borderId="14" xfId="0" applyFont="1" applyFill="1" applyBorder="1" applyAlignment="1">
      <alignment wrapText="1"/>
    </xf>
    <xf numFmtId="0" fontId="12" fillId="13" borderId="4" xfId="0" applyFont="1" applyFill="1" applyBorder="1" applyAlignment="1">
      <alignment wrapText="1"/>
    </xf>
    <xf numFmtId="164" fontId="12" fillId="13" borderId="4" xfId="0" applyNumberFormat="1" applyFont="1" applyFill="1" applyBorder="1" applyAlignment="1">
      <alignment wrapText="1"/>
    </xf>
    <xf numFmtId="170" fontId="8" fillId="5" borderId="4" xfId="0" applyNumberFormat="1" applyFont="1" applyFill="1" applyBorder="1" applyAlignment="1">
      <alignment wrapText="1"/>
    </xf>
    <xf numFmtId="0" fontId="12" fillId="0" borderId="0" xfId="0" applyFont="1"/>
    <xf numFmtId="14" fontId="12" fillId="0" borderId="0" xfId="0" applyNumberFormat="1" applyFont="1" applyAlignment="1">
      <alignment horizontal="left"/>
    </xf>
    <xf numFmtId="164" fontId="12" fillId="0" borderId="0" xfId="0" applyNumberFormat="1" applyFont="1"/>
    <xf numFmtId="170" fontId="12" fillId="0" borderId="5" xfId="0" applyNumberFormat="1" applyFont="1" applyBorder="1" applyAlignment="1">
      <alignment horizontal="left" wrapText="1"/>
    </xf>
    <xf numFmtId="0" fontId="8" fillId="5" borderId="5" xfId="0" applyFont="1" applyFill="1" applyBorder="1" applyAlignment="1">
      <alignment wrapText="1"/>
    </xf>
    <xf numFmtId="14" fontId="11" fillId="0" borderId="4" xfId="0" applyNumberFormat="1" applyFont="1" applyBorder="1" applyAlignment="1">
      <alignment wrapText="1"/>
    </xf>
    <xf numFmtId="14" fontId="12" fillId="0" borderId="5" xfId="0" applyNumberFormat="1" applyFont="1" applyBorder="1" applyAlignment="1">
      <alignment wrapText="1"/>
    </xf>
    <xf numFmtId="14" fontId="18" fillId="5" borderId="4" xfId="0" applyNumberFormat="1" applyFont="1" applyFill="1" applyBorder="1" applyAlignment="1">
      <alignment horizontal="left" wrapText="1"/>
    </xf>
    <xf numFmtId="164" fontId="18" fillId="5" borderId="4" xfId="0" applyNumberFormat="1" applyFont="1" applyFill="1" applyBorder="1" applyAlignment="1">
      <alignment wrapText="1"/>
    </xf>
    <xf numFmtId="0" fontId="18" fillId="5" borderId="4" xfId="0" applyFont="1" applyFill="1" applyBorder="1" applyAlignment="1">
      <alignment wrapText="1"/>
    </xf>
    <xf numFmtId="0" fontId="18" fillId="5" borderId="5" xfId="0" applyFont="1" applyFill="1" applyBorder="1" applyAlignment="1">
      <alignment wrapText="1"/>
    </xf>
    <xf numFmtId="17" fontId="8" fillId="0" borderId="7" xfId="0" applyNumberFormat="1" applyFont="1" applyBorder="1" applyAlignment="1">
      <alignment horizontal="left" wrapText="1"/>
    </xf>
    <xf numFmtId="14" fontId="12" fillId="0" borderId="7" xfId="0" applyNumberFormat="1" applyFont="1" applyBorder="1" applyAlignment="1">
      <alignment horizontal="left" wrapText="1"/>
    </xf>
    <xf numFmtId="164" fontId="12" fillId="0" borderId="7" xfId="0" applyNumberFormat="1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12" xfId="0" applyFont="1" applyBorder="1" applyAlignment="1">
      <alignment wrapText="1"/>
    </xf>
    <xf numFmtId="17" fontId="17" fillId="0" borderId="4" xfId="0" applyNumberFormat="1" applyFont="1" applyBorder="1" applyAlignment="1">
      <alignment horizontal="left" wrapText="1"/>
    </xf>
    <xf numFmtId="170" fontId="12" fillId="0" borderId="4" xfId="0" applyNumberFormat="1" applyFont="1" applyBorder="1" applyAlignment="1">
      <alignment horizontal="left" wrapText="1"/>
    </xf>
    <xf numFmtId="164" fontId="12" fillId="6" borderId="4" xfId="0" applyNumberFormat="1" applyFont="1" applyFill="1" applyBorder="1" applyAlignment="1">
      <alignment wrapText="1"/>
    </xf>
    <xf numFmtId="0" fontId="12" fillId="6" borderId="4" xfId="0" applyFont="1" applyFill="1" applyBorder="1" applyAlignment="1">
      <alignment wrapText="1"/>
    </xf>
    <xf numFmtId="170" fontId="12" fillId="6" borderId="4" xfId="0" applyNumberFormat="1" applyFont="1" applyFill="1" applyBorder="1" applyAlignment="1">
      <alignment horizontal="left" wrapText="1"/>
    </xf>
    <xf numFmtId="164" fontId="12" fillId="5" borderId="4" xfId="0" applyNumberFormat="1" applyFont="1" applyFill="1" applyBorder="1" applyAlignment="1">
      <alignment horizontal="left" wrapText="1"/>
    </xf>
    <xf numFmtId="170" fontId="12" fillId="5" borderId="4" xfId="0" applyNumberFormat="1" applyFont="1" applyFill="1" applyBorder="1" applyAlignment="1">
      <alignment horizontal="left" wrapText="1"/>
    </xf>
    <xf numFmtId="170" fontId="12" fillId="5" borderId="5" xfId="0" applyNumberFormat="1" applyFont="1" applyFill="1" applyBorder="1" applyAlignment="1">
      <alignment horizontal="left" wrapText="1"/>
    </xf>
    <xf numFmtId="166" fontId="12" fillId="0" borderId="4" xfId="0" applyNumberFormat="1" applyFont="1" applyBorder="1" applyAlignment="1">
      <alignment horizontal="left" wrapText="1"/>
    </xf>
    <xf numFmtId="166" fontId="12" fillId="5" borderId="4" xfId="0" applyNumberFormat="1" applyFont="1" applyFill="1" applyBorder="1" applyAlignment="1">
      <alignment horizontal="left" wrapText="1"/>
    </xf>
    <xf numFmtId="170" fontId="12" fillId="0" borderId="12" xfId="0" applyNumberFormat="1" applyFont="1" applyBorder="1" applyAlignment="1">
      <alignment horizontal="left" wrapText="1"/>
    </xf>
    <xf numFmtId="170" fontId="12" fillId="0" borderId="7" xfId="0" applyNumberFormat="1" applyFont="1" applyBorder="1" applyAlignment="1">
      <alignment horizontal="left" wrapText="1"/>
    </xf>
    <xf numFmtId="166" fontId="12" fillId="0" borderId="7" xfId="0" applyNumberFormat="1" applyFont="1" applyBorder="1" applyAlignment="1">
      <alignment horizontal="left" wrapText="1"/>
    </xf>
    <xf numFmtId="170" fontId="12" fillId="5" borderId="7" xfId="0" applyNumberFormat="1" applyFont="1" applyFill="1" applyBorder="1" applyAlignment="1">
      <alignment horizontal="left" wrapText="1"/>
    </xf>
    <xf numFmtId="14" fontId="12" fillId="5" borderId="7" xfId="0" applyNumberFormat="1" applyFont="1" applyFill="1" applyBorder="1" applyAlignment="1">
      <alignment horizontal="left" wrapText="1"/>
    </xf>
    <xf numFmtId="166" fontId="12" fillId="5" borderId="7" xfId="0" applyNumberFormat="1" applyFont="1" applyFill="1" applyBorder="1" applyAlignment="1">
      <alignment horizontal="left" wrapText="1"/>
    </xf>
    <xf numFmtId="170" fontId="12" fillId="5" borderId="12" xfId="0" applyNumberFormat="1" applyFont="1" applyFill="1" applyBorder="1" applyAlignment="1">
      <alignment horizontal="left" wrapText="1"/>
    </xf>
    <xf numFmtId="0" fontId="5" fillId="0" borderId="0" xfId="0" applyFont="1" applyAlignment="1">
      <alignment horizontal="center"/>
    </xf>
    <xf numFmtId="167" fontId="5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/>
    <xf numFmtId="0" fontId="5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/>
    </xf>
    <xf numFmtId="174" fontId="0" fillId="0" borderId="0" xfId="0" applyNumberFormat="1"/>
    <xf numFmtId="166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0" fontId="0" fillId="16" borderId="0" xfId="0" applyFill="1"/>
    <xf numFmtId="167" fontId="5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 wrapText="1"/>
    </xf>
    <xf numFmtId="167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167" fontId="20" fillId="0" borderId="0" xfId="0" applyNumberFormat="1" applyFont="1" applyAlignment="1">
      <alignment horizontal="center"/>
    </xf>
    <xf numFmtId="167" fontId="20" fillId="0" borderId="0" xfId="0" applyNumberFormat="1" applyFont="1"/>
    <xf numFmtId="164" fontId="0" fillId="0" borderId="0" xfId="0" applyNumberFormat="1" applyAlignment="1">
      <alignment wrapText="1"/>
    </xf>
    <xf numFmtId="175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175" fontId="5" fillId="0" borderId="0" xfId="0" applyNumberFormat="1" applyFont="1" applyAlignment="1">
      <alignment horizontal="center" wrapText="1"/>
    </xf>
    <xf numFmtId="168" fontId="19" fillId="0" borderId="0" xfId="0" applyNumberFormat="1" applyFont="1"/>
    <xf numFmtId="0" fontId="20" fillId="0" borderId="0" xfId="0" applyFont="1"/>
  </cellXfs>
  <cellStyles count="1">
    <cellStyle name="Normal" xfId="0" builtinId="0"/>
  </cellStyles>
  <dxfs count="81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0" cy="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1" displayName="Table11" ref="A3:N20" totalsRowShown="1" headerRowCount="0">
  <autoFilter ref="A3:N20">
    <filterColumn colId="0" hiddenButton="1"/>
    <filterColumn colId="1" hiddenButton="1"/>
    <filterColumn colId="2" hiddenButton="1"/>
  </autoFilter>
  <tableColumns count="3">
    <tableColumn id="1" name="Month"/>
    <tableColumn id="2" name="Cars Sold"/>
    <tableColumn id="3" name="Total Revenue"/>
  </tableColumns>
  <tableStyleInfo name="July Dashboard-style 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13" displayName="Table13" ref="A2:P142" totalsRowShown="1" headerRowCount="0">
  <autoFilter ref="A2:P1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Month"/>
    <tableColumn id="2" name="Date Aquired"/>
    <tableColumn id="3" name="Number Plate reference"/>
    <tableColumn id="4" name="Make &amp; Model"/>
    <tableColumn id="5" name="MP/Investor Name"/>
    <tableColumn id="6" name="Total Cost"/>
    <tableColumn id="7" name="Sold"/>
    <tableColumn id="8" name="Part Ex"/>
    <tableColumn id="9" name="MP/Investor Profit Share"/>
    <tableColumn id="10" name="Total Profit"/>
    <tableColumn id="11" name="Investor Profit"/>
    <tableColumn id="12" name="MP Profit"/>
    <tableColumn id="13" name="Date Listed"/>
    <tableColumn id="14" name="Date Sold"/>
    <tableColumn id="15" name="Days to Sell"/>
    <tableColumn id="16" name="Platfrom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12" displayName="Table12" ref="B2:N295" totalsRowShown="1" headerRowCount="0">
  <autoFilter ref="B2:N29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Month"/>
    <tableColumn id="2" name="Date Aquired"/>
    <tableColumn id="3" name="Plate Number"/>
    <tableColumn id="4" name="Make &amp; Model"/>
    <tableColumn id="5" name="Investor/MP"/>
    <tableColumn id="6" name="Source"/>
    <tableColumn id="7" name="PX Value"/>
    <tableColumn id="8" name="Price"/>
    <tableColumn id="9" name="Reconditioning costs"/>
    <tableColumn id="10" name="Total Cost"/>
    <tableColumn id="11" name="Sold"/>
    <tableColumn id="12" name="Profit"/>
    <tableColumn id="13" name="Statu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19" displayName="Table19" ref="A1:G9" totalsRowShown="1" headerRowCount="0">
  <autoFilter ref="A1:G9">
    <filterColumn colId="0" hiddenButton="1"/>
    <filterColumn colId="1" hiddenButton="1"/>
    <filterColumn colId="2" hiddenButton="1"/>
    <filterColumn colId="3" hiddenButton="1"/>
  </autoFilter>
  <tableColumns count="4">
    <tableColumn id="1" name="Investors"/>
    <tableColumn id="2" name="Initial Balance"/>
    <tableColumn id="3" name="Capital Returned"/>
    <tableColumn id="4" name="Total Balance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le3" displayName="Table3" ref="A1:G16" totalsRowShown="1" headerRowCount="0">
  <autoFilter ref="A1:G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Month"/>
    <tableColumn id="2" name="Date Aquired"/>
    <tableColumn id="3" name="Number Plate reference"/>
    <tableColumn id="4" name="Make &amp; Model"/>
    <tableColumn id="5" name="Seller Name"/>
    <tableColumn id="6" name="Total Cost"/>
    <tableColumn id="7" name="Sale Price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able14" displayName="Table14" ref="A1:H306" totalsRowShown="1" headerRowCount="0">
  <autoFilter ref="A1:H30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Month"/>
    <tableColumn id="2" name="Date"/>
    <tableColumn id="3" name="Category"/>
    <tableColumn id="4" name="From"/>
    <tableColumn id="5" name="Amount "/>
    <tableColumn id="6" name="Payment Method"/>
    <tableColumn id="7" name="Paid By"/>
    <tableColumn id="8" name="Not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able15" displayName="Table15" ref="A1:E250" totalsRowShown="1" headerRowCount="0">
  <autoFilter ref="A1:E250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Month"/>
    <tableColumn id="2" name="Date"/>
    <tableColumn id="3" name="Car"/>
    <tableColumn id="4" name="Amount "/>
    <tableColumn id="5" name="Column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able2" displayName="Table2" ref="A1:F40" totalsRowShown="1" headerRowCount="0">
  <autoFilter ref="A1:F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Month"/>
    <tableColumn id="2" name="Date"/>
    <tableColumn id="3" name="Category"/>
    <tableColumn id="4" name="Amount "/>
    <tableColumn id="5" name="Reg"/>
    <tableColumn id="6" name="Notes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able1" displayName="Table1" ref="A1:E110" totalsRowShown="1" headerRowCount="0">
  <autoFilter ref="A1:E110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Month"/>
    <tableColumn id="2" name="Date"/>
    <tableColumn id="3" name="Category"/>
    <tableColumn id="4" name="Amount "/>
    <tableColumn id="5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G1:S25"/>
  <sheetViews>
    <sheetView workbookViewId="0" zoomScale="80" zoomScaleNormal="91">
      <selection activeCell="G28" sqref="G28"/>
    </sheetView>
  </sheetViews>
  <sheetFormatPr defaultRowHeight="14.25" outlineLevelRow="0" outlineLevelCol="0" x14ac:dyDescent="0" defaultColWidth="8.5" customHeight="1"/>
  <cols>
    <col min="1" max="1" width="10.6640625" style="1" customWidth="1"/>
    <col min="2" max="2" width="15.33203125" style="1" customWidth="1"/>
    <col min="3" max="3" width="21" style="1" customWidth="1"/>
    <col min="4" max="4" width="24.6640625" style="1" customWidth="1"/>
    <col min="5" max="5" width="24" style="1" customWidth="1"/>
    <col min="6" max="7" width="28.1640625" style="1" customWidth="1"/>
    <col min="8" max="8" width="23.5" style="1" customWidth="1"/>
    <col min="9" max="9" width="24.5" style="1" customWidth="1"/>
    <col min="10" max="10" width="22.33203125" style="1" customWidth="1"/>
    <col min="11" max="11" width="24.1640625" style="1" customWidth="1"/>
    <col min="12" max="12" width="29" style="1" customWidth="1"/>
    <col min="13" max="13" width="34.33203125" style="1" hidden="1" customWidth="1"/>
    <col min="14" max="14" width="16.33203125" style="1" hidden="1" customWidth="1"/>
    <col min="15" max="15" width="13" style="1" hidden="1" customWidth="1"/>
    <col min="16" max="16384" width="8.5" style="1" customWidth="1"/>
  </cols>
  <sheetData>
    <row r="1" ht="14.25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99.75" customHeight="1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38.25" customHeight="1" spans="1:14" x14ac:dyDescent="0.25">
      <c r="A3" s="2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3" t="s">
        <v>5</v>
      </c>
      <c r="G3" s="3" t="s">
        <v>6</v>
      </c>
      <c r="H3" s="3" t="s">
        <v>7</v>
      </c>
      <c r="I3" s="4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5" t="s">
        <v>13</v>
      </c>
    </row>
    <row r="4" ht="41.5" customHeight="1" spans="1:14" x14ac:dyDescent="0.25">
      <c r="A4" s="6">
        <v>45839</v>
      </c>
      <c r="B4" s="7">
        <v>8</v>
      </c>
      <c r="C4" s="8">
        <f>SUM('Sold Stock'!G3:G10)</f>
        <v>25546</v>
      </c>
      <c r="D4" s="9">
        <f>'Sold Stock'!J12</f>
        <v>5851.79</v>
      </c>
      <c r="E4" s="9">
        <f>Expense!E29</f>
        <v>386.21000000000004</v>
      </c>
      <c r="F4" s="9"/>
      <c r="G4" s="9" t="s">
        <v>14</v>
      </c>
      <c r="H4" s="10"/>
      <c r="I4" s="11">
        <f>'Fuel Expense'!D9</f>
        <v>247.03</v>
      </c>
      <c r="J4" s="12">
        <v>0</v>
      </c>
      <c r="K4" s="12">
        <v>0</v>
      </c>
      <c r="L4" s="9"/>
      <c r="M4" s="13">
        <f t="shared" ref="M4:M9" si="0">SUM(L4,J4)-SUM(E4,I4)</f>
        <v>-633.24</v>
      </c>
      <c r="N4" s="14"/>
    </row>
    <row r="5" ht="41.5" customHeight="1" spans="1:19" x14ac:dyDescent="0.25">
      <c r="A5" s="6">
        <v>45870</v>
      </c>
      <c r="B5" s="7">
        <v>6</v>
      </c>
      <c r="C5" s="9">
        <f>SUM('Sold Stock'!G14:G19)</f>
        <v>15595</v>
      </c>
      <c r="D5" s="9">
        <f>'Sold Stock'!J21</f>
        <v>464.20000000000095</v>
      </c>
      <c r="E5" s="9">
        <f>Expense!E50</f>
        <v>643.3100000000001</v>
      </c>
      <c r="F5" s="9"/>
      <c r="G5" s="9" t="s">
        <v>14</v>
      </c>
      <c r="H5" s="10"/>
      <c r="I5" s="11">
        <f>'Fuel Expense'!D20</f>
        <v>409.74</v>
      </c>
      <c r="J5" s="12">
        <v>0</v>
      </c>
      <c r="K5" s="12">
        <v>0</v>
      </c>
      <c r="L5" s="9"/>
      <c r="M5" s="13">
        <f t="shared" si="0"/>
        <v>-1053.0500000000002</v>
      </c>
      <c r="N5" s="15"/>
      <c r="S5" s="16"/>
    </row>
    <row r="6" ht="41.5" customHeight="1" spans="1:14" x14ac:dyDescent="0.25">
      <c r="A6" s="6">
        <v>45901</v>
      </c>
      <c r="B6" s="7">
        <v>10</v>
      </c>
      <c r="C6" s="9">
        <f>SUM('Sold Stock'!G23:G32)</f>
        <v>35812</v>
      </c>
      <c r="D6" s="9">
        <f>'Sold Stock'!J34</f>
        <v>9866.750000000002</v>
      </c>
      <c r="E6" s="9">
        <f>Expense!E76</f>
        <v>854.3100000000001</v>
      </c>
      <c r="F6" s="9"/>
      <c r="G6" s="9" t="s">
        <v>14</v>
      </c>
      <c r="H6" s="10"/>
      <c r="I6" s="11">
        <f>'Fuel Expense'!D31</f>
        <v>435.00999999999993</v>
      </c>
      <c r="J6" s="12">
        <v>0</v>
      </c>
      <c r="K6" s="12">
        <v>0</v>
      </c>
      <c r="L6" s="9"/>
      <c r="M6" s="13">
        <f t="shared" si="0"/>
        <v>-1289.32</v>
      </c>
      <c r="N6" s="14"/>
    </row>
    <row r="7" ht="41.5" customHeight="1" spans="1:14" x14ac:dyDescent="0.25">
      <c r="A7" s="6">
        <v>45931</v>
      </c>
      <c r="B7" s="17">
        <v>7</v>
      </c>
      <c r="C7" s="9">
        <f>SUM('Sold Stock'!G36:G43)</f>
        <v>26735</v>
      </c>
      <c r="D7" s="15">
        <f>'Sold Stock'!J45</f>
        <v>10118.099999999999</v>
      </c>
      <c r="E7" s="15">
        <f>Expense!E107</f>
        <v>3132.289999999999</v>
      </c>
      <c r="F7" s="15"/>
      <c r="G7" s="9" t="s">
        <v>14</v>
      </c>
      <c r="H7" s="18"/>
      <c r="I7" s="11">
        <f>'Fuel Expense'!D39</f>
        <v>370.49999999999994</v>
      </c>
      <c r="J7" s="12">
        <v>0</v>
      </c>
      <c r="K7" s="12">
        <v>0</v>
      </c>
      <c r="L7" s="9"/>
      <c r="M7" s="13">
        <f t="shared" si="0"/>
        <v>-3502.789999999999</v>
      </c>
      <c r="N7" s="19" t="s">
        <v>15</v>
      </c>
    </row>
    <row r="8" ht="41.5" customHeight="1" spans="1:15" x14ac:dyDescent="0.25">
      <c r="A8" s="6">
        <v>45962</v>
      </c>
      <c r="B8" s="20">
        <v>15</v>
      </c>
      <c r="C8" s="9">
        <f>SUM('Sold Stock'!G47:G58)</f>
        <v>66552.27</v>
      </c>
      <c r="D8" s="15">
        <f>'Sold Stock'!J63+Table11[[#This Row],[Other Money In]]</f>
        <v>19302.64</v>
      </c>
      <c r="E8" s="15">
        <f>Expense!E140</f>
        <v>4356.5</v>
      </c>
      <c r="F8" s="15">
        <f>'Sold Stock'!L63+Table11[[#This Row],[Other Money In]]</f>
        <v>11542.482</v>
      </c>
      <c r="G8" s="15">
        <f>SUM('Sold Stock'!K63)</f>
        <v>8539.463</v>
      </c>
      <c r="H8" s="18"/>
      <c r="I8" s="11">
        <f>'Fuel Expense'!D49</f>
        <v>422.77</v>
      </c>
      <c r="J8" s="15">
        <f>'Money in'!D2</f>
        <v>200</v>
      </c>
      <c r="K8" s="12">
        <f>'Money Out'!D4</f>
        <v>500</v>
      </c>
      <c r="L8" s="15">
        <f>Table11[[#This Row],[Total MP Gross Profit]]-SUM(Table11[[#This Row],[Other Money Out]],Table11[[#This Row],[Company Fuel Costs]],Table11[[#This Row],[Investor Expense]],Table11[[#This Row],[Company Expenses]])</f>
        <v>6263.2119999999995</v>
      </c>
      <c r="M8" s="13">
        <f t="shared" si="0"/>
        <v>1683.941999999999</v>
      </c>
      <c r="N8" s="19" t="s">
        <v>16</v>
      </c>
      <c r="O8" s="14" t="s">
        <v>17</v>
      </c>
    </row>
    <row r="9" ht="41.5" customHeight="1" spans="1:14" x14ac:dyDescent="0.25">
      <c r="A9" s="6">
        <v>45992</v>
      </c>
      <c r="B9" s="20">
        <v>12</v>
      </c>
      <c r="C9" s="15">
        <f>SUM('Sold Stock'!G65:G76)</f>
        <v>71334</v>
      </c>
      <c r="D9" s="15">
        <f>'Sold Stock'!J78+Table11[[#This Row],[Other Money In]]</f>
        <v>24070.856666666667</v>
      </c>
      <c r="E9" s="15">
        <f>Expense!E184</f>
        <v>7881.75</v>
      </c>
      <c r="F9" s="15">
        <f>'Sold Stock'!L78+Table11[[#This Row],[Other Money In]]</f>
        <v>17194.304666666667</v>
      </c>
      <c r="G9" s="15">
        <f>SUM('Sold Stock'!K78)</f>
        <v>6544.542</v>
      </c>
      <c r="H9" s="18"/>
      <c r="I9" s="11">
        <f>'Fuel Expense'!D57</f>
        <v>331.24</v>
      </c>
      <c r="J9" s="15">
        <f>'Money in'!D10</f>
        <v>663.28</v>
      </c>
      <c r="K9" s="15">
        <v>0</v>
      </c>
      <c r="L9" s="15">
        <f>Table11[[#This Row],[Total MP Gross Profit]]-SUM(Table11[[#This Row],[Other Money Out]],Table11[[#This Row],[Company Fuel Costs]],Table11[[#This Row],[Investor Expense]],Table11[[#This Row],[Company Expenses]])</f>
        <v>8981.314666666667</v>
      </c>
      <c r="M9" s="13">
        <f t="shared" si="0"/>
        <v>1431.604666666668</v>
      </c>
      <c r="N9" s="15"/>
    </row>
    <row r="10" ht="41.5" customHeight="1" spans="1:14" x14ac:dyDescent="0.25">
      <c r="A10" s="6">
        <v>46023</v>
      </c>
      <c r="B10" s="17" t="s">
        <v>18</v>
      </c>
      <c r="C10" s="21">
        <f>SUM('Sold Stock'!G80:G89)</f>
        <v>70813.28</v>
      </c>
      <c r="D10" s="15">
        <f>'Sold Stock'!J91+Table11[[#This Row],[Other Money In]]</f>
        <v>20397.816666666662</v>
      </c>
      <c r="E10" s="15">
        <f>Expense!E211</f>
        <v>6002.860000000001</v>
      </c>
      <c r="F10" s="15">
        <f>'Sold Stock'!L91+Table11[[#This Row],[Other Money In]]</f>
        <v>15012.593333333334</v>
      </c>
      <c r="G10" s="15">
        <f>SUM('Sold Stock'!K91)</f>
        <v>5945.743333333334</v>
      </c>
      <c r="H10" s="18">
        <f>'Investor Car Expense'!D8</f>
        <v>370</v>
      </c>
      <c r="I10" s="11">
        <f>'Fuel Expense'!D72</f>
        <v>473.86</v>
      </c>
      <c r="J10" s="15">
        <f>'Money in'!D15</f>
        <v>250</v>
      </c>
      <c r="K10" s="15">
        <f>'Money Out'!D9</f>
        <v>2214.74</v>
      </c>
      <c r="L10" s="15">
        <f>Table11[[#This Row],[Total MP Gross Profit]]-SUM(Table11[[#This Row],[Other Money Out]],Table11[[#This Row],[Company Fuel Costs]],Table11[[#This Row],[Investor Expense]],Table11[[#This Row],[Company Expenses]])</f>
        <v>5951.133333333333</v>
      </c>
      <c r="M10" s="13">
        <f>SUM(L10,J10)-SUM(Table11[[#This Row],[Other Money Out]],E10,I10,Table11[[#This Row],[Investor Expense]])</f>
        <v>-2860.3266666666677</v>
      </c>
      <c r="N10" s="14" t="s">
        <v>19</v>
      </c>
    </row>
    <row r="11" ht="41.5" customHeight="1" spans="1:14" x14ac:dyDescent="0.25">
      <c r="A11" s="6">
        <v>46054</v>
      </c>
      <c r="B11" s="17" t="s">
        <v>18</v>
      </c>
      <c r="C11" s="21">
        <f>SUM('Sold Stock'!G92:G104)</f>
        <v>62249.29</v>
      </c>
      <c r="D11" s="15">
        <f>'Sold Stock'!J104+Table11[[#This Row],[Other Money In]]</f>
        <v>16553.538333333334</v>
      </c>
      <c r="E11" s="15">
        <f>Expense!E243</f>
        <v>6323.769999999999</v>
      </c>
      <c r="F11" s="15">
        <f>'Sold Stock'!L104+Table11[[#This Row],[Other Money In]]</f>
        <v>8941.508916666668</v>
      </c>
      <c r="G11" s="12">
        <f>SUM('Sold Stock'!K104)</f>
        <v>5339.799416666666</v>
      </c>
      <c r="H11" s="18">
        <f>'Investor Car Expense'!D25</f>
        <v>837.85</v>
      </c>
      <c r="I11" s="11">
        <f>'Fuel Expense'!D86</f>
        <v>564.9399999999999</v>
      </c>
      <c r="J11" s="15">
        <f>'Money in'!D24</f>
        <v>1580.95</v>
      </c>
      <c r="K11" s="12">
        <v>0</v>
      </c>
      <c r="L11" s="15">
        <f>Table11[[#This Row],[Total MP Gross Profit]]-SUM(Table11[[#This Row],[Other Money Out]],Table11[[#This Row],[Company Fuel Costs]],Table11[[#This Row],[Investor Expense]],Table11[[#This Row],[Company Expenses]])</f>
        <v>1214.948916666669</v>
      </c>
      <c r="M11" s="13">
        <f>SUM(L11,J11)-SUM(Table11[[#This Row],[Other Money Out]],E11,I11,Table11[[#This Row],[Investor Expense]])</f>
        <v>-4930.66108333333</v>
      </c>
      <c r="N11" s="19" t="s">
        <v>20</v>
      </c>
    </row>
    <row r="12" ht="41.5" customHeight="1" spans="1:14" x14ac:dyDescent="0.25">
      <c r="A12" s="6">
        <v>46082</v>
      </c>
      <c r="B12" s="17" t="s">
        <v>21</v>
      </c>
      <c r="C12" s="21">
        <f>SUM('Sold Stock'!G106:G125)</f>
        <v>127336.98999999999</v>
      </c>
      <c r="D12" s="15">
        <f>'Sold Stock'!J122+Table11[[#This Row],[Other Money In]]</f>
        <v>28777.35</v>
      </c>
      <c r="E12" s="15">
        <f>Expense!E265</f>
        <v>6068.599999999999</v>
      </c>
      <c r="F12" s="15">
        <f>'Sold Stock'!L122+Table11[[#This Row],[Other Money In]]</f>
        <v>19683.258</v>
      </c>
      <c r="G12" s="15">
        <f>'Sold Stock'!K122</f>
        <v>9166.072</v>
      </c>
      <c r="H12" s="18">
        <f>'Investor Car Expense'!D38</f>
        <v>673.23</v>
      </c>
      <c r="I12" s="11">
        <f>'Fuel Expense'!D99</f>
        <v>546.4100000000001</v>
      </c>
      <c r="J12" s="15">
        <f>'Money in'!D30</f>
        <v>297</v>
      </c>
      <c r="K12" s="12">
        <v>2000</v>
      </c>
      <c r="L12" s="15">
        <f>Table11[[#This Row],[Total MP Gross Profit]]-SUM(Table11[[#This Row],[Other Money Out]],Table11[[#This Row],[Company Fuel Costs]],Table11[[#This Row],[Investor Expense]],Table11[[#This Row],[Company Expenses]])</f>
        <v>10395.018000000002</v>
      </c>
      <c r="M12" s="13">
        <f>SUM(L12,J12)-SUM(Table11[[#This Row],[Other Money Out]],E12,I12,Table11[[#This Row],[Investor Expense]])</f>
        <v>1403.778000000002</v>
      </c>
      <c r="N12" s="15"/>
    </row>
    <row r="13" ht="41.5" customHeight="1" spans="1:14" x14ac:dyDescent="0.25">
      <c r="A13" s="6">
        <v>46113</v>
      </c>
      <c r="B13" s="17" t="s">
        <v>22</v>
      </c>
      <c r="C13" s="21">
        <f>SUM('Sold Stock'!G124:G139)</f>
        <v>58311</v>
      </c>
      <c r="D13" s="15">
        <f>'Sold Stock'!J140+Table11[[#This Row],[Other Money In]]</f>
        <v>22477.875</v>
      </c>
      <c r="E13" s="15">
        <f>Expense!E295</f>
        <v>2947.86</v>
      </c>
      <c r="F13" s="15">
        <f>'Sold Stock'!L140+Table11[[#This Row],[Other Money In]]</f>
        <v>19879.65525</v>
      </c>
      <c r="G13" s="15">
        <f>'Sold Stock'!K140</f>
        <v>2598.21975</v>
      </c>
      <c r="H13" s="18">
        <f>'Investor Car Expense'!D56</f>
        <v>58.6</v>
      </c>
      <c r="I13" s="11">
        <f>'Fuel Expense'!D111</f>
        <v>97.79</v>
      </c>
      <c r="J13" s="15">
        <f>'Money in'!D36</f>
        <v>179</v>
      </c>
      <c r="K13" s="12">
        <v>0</v>
      </c>
      <c r="L13" s="15">
        <f>Table11[[#This Row],[Total MP Gross Profit]]-SUM(Table11[[#This Row],[Other Money Out]],Table11[[#This Row],[Company Fuel Costs]],Table11[[#This Row],[Investor Expense]],Table11[[#This Row],[Company Expenses]])</f>
        <v>16775.40525</v>
      </c>
      <c r="M13" s="13">
        <f>SUM(L13,J13)-SUM(Table11[[#This Row],[Other Money Out]],E13,I13,Table11[[#This Row],[Investor Expense]])</f>
        <v>13850.15525</v>
      </c>
      <c r="N13" s="14"/>
    </row>
    <row r="14" ht="41.5" customHeight="1" spans="1:14" x14ac:dyDescent="0.25">
      <c r="A14" s="6">
        <v>46143</v>
      </c>
      <c r="B14" s="17"/>
      <c r="C14" s="9"/>
      <c r="D14" s="22"/>
      <c r="E14" s="15"/>
      <c r="F14" s="15"/>
      <c r="G14" s="15"/>
      <c r="H14" s="18"/>
      <c r="I14" s="11"/>
      <c r="J14" s="15"/>
      <c r="K14" s="15"/>
      <c r="L14" s="15"/>
      <c r="M14" s="13"/>
      <c r="N14" s="14"/>
    </row>
    <row r="15" ht="41.5" customHeight="1" spans="1:14" x14ac:dyDescent="0.25">
      <c r="A15" s="6">
        <v>46174</v>
      </c>
      <c r="B15" s="17"/>
      <c r="C15" s="9"/>
      <c r="D15" s="23"/>
      <c r="E15" s="15"/>
      <c r="F15" s="15"/>
      <c r="G15" s="12"/>
      <c r="H15" s="18"/>
      <c r="I15" s="11"/>
      <c r="J15" s="15"/>
      <c r="K15" s="12"/>
      <c r="L15" s="15"/>
      <c r="M15" s="13"/>
      <c r="N15" s="14"/>
    </row>
    <row r="16" ht="41.5" customHeight="1" spans="1:14" x14ac:dyDescent="0.25">
      <c r="A16" s="6">
        <v>46204</v>
      </c>
      <c r="B16" s="17"/>
      <c r="C16" s="9"/>
      <c r="D16" s="22"/>
      <c r="E16" s="15"/>
      <c r="F16" s="15"/>
      <c r="G16" s="12"/>
      <c r="H16" s="18"/>
      <c r="I16" s="11"/>
      <c r="J16" s="15"/>
      <c r="K16" s="12"/>
      <c r="L16" s="15"/>
      <c r="M16" s="13"/>
      <c r="N16" s="14"/>
    </row>
    <row r="17" ht="41.5" customHeight="1" hidden="1" spans="1:14" x14ac:dyDescent="0.25">
      <c r="A17" s="6">
        <v>46235</v>
      </c>
      <c r="B17" s="17"/>
      <c r="C17" s="9"/>
      <c r="D17" s="22"/>
      <c r="E17" s="15"/>
      <c r="F17" s="15"/>
      <c r="G17" s="12"/>
      <c r="H17" s="18"/>
      <c r="I17" s="11"/>
      <c r="J17" s="15"/>
      <c r="K17" s="12"/>
      <c r="L17" s="15"/>
      <c r="M17" s="13"/>
      <c r="N17" s="14"/>
    </row>
    <row r="18" ht="41.5" customHeight="1" hidden="1" spans="1:14" x14ac:dyDescent="0.25">
      <c r="A18" s="6">
        <v>46266</v>
      </c>
      <c r="B18" s="17"/>
      <c r="C18" s="15"/>
      <c r="D18" s="22"/>
      <c r="E18" s="15"/>
      <c r="F18" s="15"/>
      <c r="G18" s="12"/>
      <c r="H18" s="18"/>
      <c r="I18" s="11"/>
      <c r="J18" s="15"/>
      <c r="K18" s="12"/>
      <c r="L18" s="15"/>
      <c r="M18" s="13"/>
      <c r="N18" s="14"/>
    </row>
    <row r="19" ht="41.5" customHeight="1" hidden="1" spans="1:14" x14ac:dyDescent="0.25">
      <c r="A19" s="24">
        <v>46296</v>
      </c>
      <c r="B19" s="25"/>
      <c r="C19" s="21"/>
      <c r="D19" s="12"/>
      <c r="E19" s="12"/>
      <c r="F19" s="12"/>
      <c r="G19" s="12"/>
      <c r="H19" s="26"/>
      <c r="I19" s="27"/>
      <c r="J19" s="12"/>
      <c r="K19" s="12"/>
      <c r="L19" s="12"/>
      <c r="M19" s="28"/>
      <c r="N19" s="14"/>
    </row>
    <row r="20" ht="29.25" customHeight="1" spans="1:14" x14ac:dyDescent="0.25">
      <c r="A20" s="29" t="s">
        <v>23</v>
      </c>
      <c r="B20" s="30">
        <f>SUM(B4:B19)</f>
        <v>58</v>
      </c>
      <c r="C20" s="31">
        <f>SUM(C4:C19)</f>
        <v>560284.8300000001</v>
      </c>
      <c r="D20" s="31">
        <f>SUM(D4:D19)</f>
        <v>157880.91666666666</v>
      </c>
      <c r="E20" s="31">
        <f>SUM(E4:E19)</f>
        <v>38597.46</v>
      </c>
      <c r="F20" s="31">
        <f>SUM(F4:F19)</f>
        <v>92253.80216666668</v>
      </c>
      <c r="G20" s="31">
        <f>SUM(G8:G12)</f>
        <v>35535.61975</v>
      </c>
      <c r="H20" s="31">
        <f t="shared" ref="H20:M20" si="1">SUM(H4:H19)</f>
        <v>1939.6799999999998</v>
      </c>
      <c r="I20" s="11">
        <f t="shared" si="1"/>
        <v>3899.29</v>
      </c>
      <c r="J20" s="32">
        <f t="shared" si="1"/>
        <v>3170.23</v>
      </c>
      <c r="K20" s="32">
        <f t="shared" si="1"/>
        <v>4714.74</v>
      </c>
      <c r="L20" s="32">
        <f t="shared" si="1"/>
        <v>49581.03216666667</v>
      </c>
      <c r="M20" s="33">
        <f t="shared" si="1"/>
        <v>4100.092166666673</v>
      </c>
      <c r="N20" s="14"/>
    </row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spans="7:8" x14ac:dyDescent="0.25">
      <c r="G25" s="34"/>
      <c r="H25" s="34"/>
    </row>
  </sheetData>
  <mergeCells count="1">
    <mergeCell ref="A1:L2"/>
  </mergeCells>
  <pageMargins left="0.25" right="0.25" top="0.75" bottom="0.75" header="0.3" footer="0.3"/>
  <pageSetup paperSize="28" orientation="landscape" horizontalDpi="4294967295" verticalDpi="4294967295" scale="100" fitToWidth="1" fitToHeight="0" firstPageNumber="1" useFirstPageNumber="1" copies="1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V378"/>
  <sheetViews>
    <sheetView workbookViewId="0" zoomScale="114" zoomScaleNormal="55">
      <selection activeCell="L93" sqref="L93"/>
    </sheetView>
  </sheetViews>
  <sheetFormatPr defaultRowHeight="15" outlineLevelRow="0" outlineLevelCol="0" x14ac:dyDescent="0" defaultColWidth="14.5"/>
  <cols>
    <col min="1" max="4" width="14.5" customWidth="1"/>
    <col min="5" max="5" width="16.1640625" customWidth="1"/>
    <col min="6" max="7" width="14.5" customWidth="1"/>
    <col min="8" max="8" width="20.5" customWidth="1"/>
    <col min="9" max="9" width="14.5" style="35" customWidth="1"/>
    <col min="10" max="10" width="23.1640625" customWidth="1"/>
    <col min="11" max="11" width="18.83203125" customWidth="1"/>
    <col min="12" max="12" width="16.1640625" customWidth="1"/>
    <col min="13" max="13" width="19.1640625" customWidth="1"/>
    <col min="14" max="14" width="19.6640625" customWidth="1"/>
    <col min="15" max="16" width="24.5" customWidth="1"/>
    <col min="17" max="18" width="14.5" customWidth="1"/>
  </cols>
  <sheetData>
    <row r="1" spans="1:14" x14ac:dyDescent="0.25">
      <c r="A1" s="36"/>
      <c r="B1" s="36"/>
      <c r="C1" s="36"/>
      <c r="D1" s="36"/>
      <c r="E1" s="36"/>
      <c r="F1" s="36"/>
      <c r="N1" s="36"/>
    </row>
    <row r="2" ht="30.75" customHeight="1" spans="1:22" x14ac:dyDescent="0.25">
      <c r="A2" s="37" t="s">
        <v>0</v>
      </c>
      <c r="B2" s="37" t="s">
        <v>24</v>
      </c>
      <c r="C2" s="38" t="s">
        <v>25</v>
      </c>
      <c r="D2" s="37" t="s">
        <v>26</v>
      </c>
      <c r="E2" s="37" t="s">
        <v>27</v>
      </c>
      <c r="F2" s="37" t="s">
        <v>28</v>
      </c>
      <c r="G2" s="39" t="s">
        <v>29</v>
      </c>
      <c r="H2" s="39" t="s">
        <v>30</v>
      </c>
      <c r="I2" s="39" t="s">
        <v>31</v>
      </c>
      <c r="J2" s="39" t="s">
        <v>32</v>
      </c>
      <c r="K2" s="39" t="s">
        <v>33</v>
      </c>
      <c r="L2" s="39" t="s">
        <v>34</v>
      </c>
      <c r="M2" s="37" t="s">
        <v>35</v>
      </c>
      <c r="N2" s="37" t="s">
        <v>36</v>
      </c>
      <c r="O2" s="40" t="s">
        <v>37</v>
      </c>
      <c r="P2" s="40" t="s">
        <v>38</v>
      </c>
      <c r="R2" s="37" t="s">
        <v>39</v>
      </c>
      <c r="S2" s="41" t="s">
        <v>40</v>
      </c>
      <c r="T2" s="41" t="s">
        <v>41</v>
      </c>
      <c r="U2" s="41" t="s">
        <v>42</v>
      </c>
      <c r="V2" s="40" t="s">
        <v>43</v>
      </c>
    </row>
    <row r="3" ht="26.5" customHeight="1" spans="1:22" x14ac:dyDescent="0.25">
      <c r="A3" s="42">
        <v>45839</v>
      </c>
      <c r="B3" s="43">
        <v>45804</v>
      </c>
      <c r="C3" s="44" t="s">
        <v>44</v>
      </c>
      <c r="D3" s="44" t="s">
        <v>45</v>
      </c>
      <c r="E3" s="44"/>
      <c r="F3" s="45">
        <v>1684.85</v>
      </c>
      <c r="G3" s="45">
        <v>2900</v>
      </c>
      <c r="H3" s="45"/>
      <c r="I3" s="45"/>
      <c r="J3" s="45">
        <v>1215.15</v>
      </c>
      <c r="K3" s="45"/>
      <c r="L3" s="45"/>
      <c r="M3" s="45"/>
      <c r="N3" s="46">
        <v>45846</v>
      </c>
      <c r="O3" s="47"/>
      <c r="P3" s="47"/>
      <c r="R3" s="48"/>
      <c r="S3" s="49"/>
      <c r="T3" s="49"/>
      <c r="U3" s="49"/>
      <c r="V3" s="47"/>
    </row>
    <row r="4" ht="26.5" customHeight="1" spans="1:22" x14ac:dyDescent="0.25">
      <c r="A4" s="42">
        <v>45839</v>
      </c>
      <c r="B4" s="43">
        <v>45813</v>
      </c>
      <c r="C4" s="44" t="s">
        <v>46</v>
      </c>
      <c r="D4" s="44" t="s">
        <v>47</v>
      </c>
      <c r="E4" s="44"/>
      <c r="F4" s="45">
        <v>2165.42</v>
      </c>
      <c r="G4" s="45">
        <v>2995</v>
      </c>
      <c r="H4" s="45"/>
      <c r="I4" s="45"/>
      <c r="J4" s="45">
        <v>829.58</v>
      </c>
      <c r="K4" s="45"/>
      <c r="L4" s="45"/>
      <c r="M4" s="45"/>
      <c r="N4" s="46">
        <v>45865</v>
      </c>
      <c r="O4" s="50"/>
      <c r="P4" s="50"/>
      <c r="R4" s="48"/>
      <c r="S4" s="49"/>
      <c r="T4" s="49"/>
      <c r="U4" s="49"/>
      <c r="V4" s="50"/>
    </row>
    <row r="5" ht="26.5" customHeight="1" spans="1:22" x14ac:dyDescent="0.25">
      <c r="A5" s="42">
        <v>45839</v>
      </c>
      <c r="B5" s="43">
        <v>45815</v>
      </c>
      <c r="C5" s="44" t="s">
        <v>48</v>
      </c>
      <c r="D5" s="44" t="s">
        <v>49</v>
      </c>
      <c r="E5" s="44"/>
      <c r="F5" s="45">
        <v>2160.74</v>
      </c>
      <c r="G5" s="45">
        <v>3376</v>
      </c>
      <c r="H5" s="45"/>
      <c r="I5" s="45"/>
      <c r="J5" s="45">
        <v>1215.26</v>
      </c>
      <c r="K5" s="45"/>
      <c r="L5" s="45"/>
      <c r="M5" s="45"/>
      <c r="N5" s="46">
        <v>45859</v>
      </c>
      <c r="O5" s="50"/>
      <c r="P5" s="50"/>
      <c r="R5" s="48"/>
      <c r="S5" s="49"/>
      <c r="T5" s="49"/>
      <c r="U5" s="49"/>
      <c r="V5" s="50"/>
    </row>
    <row r="6" ht="26.5" customHeight="1" spans="1:22" x14ac:dyDescent="0.25">
      <c r="A6" s="42">
        <v>45839</v>
      </c>
      <c r="B6" s="43">
        <v>45843</v>
      </c>
      <c r="C6" s="44" t="s">
        <v>50</v>
      </c>
      <c r="D6" s="44" t="s">
        <v>51</v>
      </c>
      <c r="E6" s="44"/>
      <c r="F6" s="45">
        <v>1992.81</v>
      </c>
      <c r="G6" s="45">
        <v>2300</v>
      </c>
      <c r="H6" s="45"/>
      <c r="I6" s="45"/>
      <c r="J6" s="45">
        <v>307.19</v>
      </c>
      <c r="K6" s="45"/>
      <c r="L6" s="45"/>
      <c r="M6" s="45"/>
      <c r="N6" s="46">
        <v>45856</v>
      </c>
      <c r="O6" s="50"/>
      <c r="P6" s="50"/>
      <c r="R6" s="48"/>
      <c r="S6" s="49"/>
      <c r="T6" s="49"/>
      <c r="U6" s="49"/>
      <c r="V6" s="50"/>
    </row>
    <row r="7" ht="26.5" customHeight="1" spans="1:22" x14ac:dyDescent="0.25">
      <c r="A7" s="42">
        <v>45839</v>
      </c>
      <c r="B7" s="43">
        <v>45846</v>
      </c>
      <c r="C7" s="44" t="s">
        <v>52</v>
      </c>
      <c r="D7" s="44" t="s">
        <v>53</v>
      </c>
      <c r="E7" s="44"/>
      <c r="F7" s="45">
        <v>2736.32</v>
      </c>
      <c r="G7" s="45">
        <v>2900</v>
      </c>
      <c r="H7" s="45"/>
      <c r="I7" s="45"/>
      <c r="J7" s="45">
        <v>163.68</v>
      </c>
      <c r="K7" s="45"/>
      <c r="L7" s="45"/>
      <c r="M7" s="45"/>
      <c r="N7" s="46">
        <v>45846</v>
      </c>
      <c r="O7" s="50"/>
      <c r="P7" s="50"/>
      <c r="R7" s="48"/>
      <c r="S7" s="49"/>
      <c r="T7" s="49"/>
      <c r="U7" s="49"/>
      <c r="V7" s="50"/>
    </row>
    <row r="8" ht="26.5" customHeight="1" spans="1:22" x14ac:dyDescent="0.25">
      <c r="A8" s="42">
        <v>45839</v>
      </c>
      <c r="B8" s="43">
        <v>45847</v>
      </c>
      <c r="C8" s="44" t="s">
        <v>54</v>
      </c>
      <c r="D8" s="44" t="s">
        <v>55</v>
      </c>
      <c r="E8" s="44"/>
      <c r="F8" s="45">
        <v>634.46</v>
      </c>
      <c r="G8" s="45">
        <v>1775</v>
      </c>
      <c r="H8" s="45"/>
      <c r="I8" s="45"/>
      <c r="J8" s="45">
        <v>1140.54</v>
      </c>
      <c r="K8" s="45"/>
      <c r="L8" s="45"/>
      <c r="M8" s="45"/>
      <c r="N8" s="46">
        <v>45859</v>
      </c>
      <c r="O8" s="50"/>
      <c r="P8" s="50"/>
      <c r="R8" s="48"/>
      <c r="S8" s="49"/>
      <c r="T8" s="49"/>
      <c r="U8" s="49"/>
      <c r="V8" s="50"/>
    </row>
    <row r="9" ht="26.5" customHeight="1" spans="1:22" x14ac:dyDescent="0.25">
      <c r="A9" s="42">
        <v>45839</v>
      </c>
      <c r="B9" s="43">
        <v>45855</v>
      </c>
      <c r="C9" s="44" t="s">
        <v>56</v>
      </c>
      <c r="D9" s="44" t="s">
        <v>57</v>
      </c>
      <c r="E9" s="44"/>
      <c r="F9" s="45">
        <v>6105.41</v>
      </c>
      <c r="G9" s="45">
        <v>6400</v>
      </c>
      <c r="H9" s="45"/>
      <c r="I9" s="45"/>
      <c r="J9" s="45">
        <v>294.5900000000001</v>
      </c>
      <c r="K9" s="45"/>
      <c r="L9" s="45"/>
      <c r="M9" s="45"/>
      <c r="N9" s="46">
        <v>45856</v>
      </c>
      <c r="O9" s="50"/>
      <c r="P9" s="50"/>
      <c r="R9" s="48"/>
      <c r="S9" s="49"/>
      <c r="T9" s="49"/>
      <c r="U9" s="49"/>
      <c r="V9" s="50"/>
    </row>
    <row r="10" ht="26.5" customHeight="1" spans="1:22" x14ac:dyDescent="0.25">
      <c r="A10" s="42">
        <v>45839</v>
      </c>
      <c r="B10" s="43">
        <v>45858</v>
      </c>
      <c r="C10" s="44" t="s">
        <v>58</v>
      </c>
      <c r="D10" s="44" t="s">
        <v>59</v>
      </c>
      <c r="E10" s="44"/>
      <c r="F10" s="45">
        <v>2214.2</v>
      </c>
      <c r="G10" s="45">
        <v>2900</v>
      </c>
      <c r="H10" s="45"/>
      <c r="I10" s="45"/>
      <c r="J10" s="45">
        <v>685.8000000000002</v>
      </c>
      <c r="K10" s="45"/>
      <c r="L10" s="45"/>
      <c r="M10" s="45"/>
      <c r="N10" s="46">
        <v>45858</v>
      </c>
      <c r="O10" s="50"/>
      <c r="P10" s="50"/>
      <c r="R10" s="48"/>
      <c r="S10" s="49"/>
      <c r="T10" s="49"/>
      <c r="U10" s="49"/>
      <c r="V10" s="50"/>
    </row>
    <row r="11" ht="26.5" customHeight="1" spans="1:22" x14ac:dyDescent="0.25">
      <c r="A11" s="42">
        <v>45839</v>
      </c>
      <c r="B11" s="46"/>
      <c r="C11" s="44"/>
      <c r="D11" s="44"/>
      <c r="E11" s="44"/>
      <c r="F11" s="45"/>
      <c r="G11" s="45"/>
      <c r="H11" s="45"/>
      <c r="I11" s="45"/>
      <c r="J11" s="45"/>
      <c r="K11" s="45"/>
      <c r="L11" s="45"/>
      <c r="M11" s="45"/>
      <c r="N11" s="46"/>
      <c r="O11" s="50"/>
      <c r="P11" s="50"/>
      <c r="R11" s="48"/>
      <c r="S11" s="49"/>
      <c r="T11" s="49"/>
      <c r="U11" s="49"/>
      <c r="V11" s="50"/>
    </row>
    <row r="12" ht="26.5" customHeight="1" spans="1:22" x14ac:dyDescent="0.25">
      <c r="A12" s="42">
        <v>45839</v>
      </c>
      <c r="B12" s="46"/>
      <c r="C12" s="44"/>
      <c r="D12" s="44"/>
      <c r="E12" s="44"/>
      <c r="F12" s="45"/>
      <c r="G12" s="45"/>
      <c r="H12" s="45"/>
      <c r="I12" s="51" t="s">
        <v>32</v>
      </c>
      <c r="J12" s="52">
        <f>SUM(J3:J10)</f>
        <v>5851.79</v>
      </c>
      <c r="K12" s="52"/>
      <c r="L12" s="52"/>
      <c r="M12" s="45"/>
      <c r="N12" s="46"/>
      <c r="O12" s="50"/>
      <c r="P12" s="50"/>
      <c r="R12" s="48"/>
      <c r="S12" s="49"/>
      <c r="T12" s="49"/>
      <c r="U12" s="49"/>
      <c r="V12" s="50"/>
    </row>
    <row r="13" ht="24" customHeight="1" spans="1:22" x14ac:dyDescent="0.25">
      <c r="A13" s="53">
        <v>45839</v>
      </c>
      <c r="B13" s="54"/>
      <c r="C13" s="55"/>
      <c r="D13" s="55"/>
      <c r="E13" s="55"/>
      <c r="F13" s="56"/>
      <c r="G13" s="57"/>
      <c r="H13" s="57"/>
      <c r="I13" s="57"/>
      <c r="J13" s="58"/>
      <c r="K13" s="58"/>
      <c r="L13" s="58"/>
      <c r="M13" s="57"/>
      <c r="N13" s="59"/>
      <c r="O13" s="59"/>
      <c r="P13" s="59"/>
      <c r="R13" s="46"/>
      <c r="S13" s="49"/>
      <c r="T13" s="49"/>
      <c r="U13" s="49"/>
      <c r="V13" s="60"/>
    </row>
    <row r="14" ht="25" customHeight="1" spans="1:22" x14ac:dyDescent="0.25">
      <c r="A14" s="42">
        <v>45870</v>
      </c>
      <c r="B14" s="61">
        <v>45798</v>
      </c>
      <c r="C14" s="62" t="s">
        <v>60</v>
      </c>
      <c r="D14" s="63" t="s">
        <v>61</v>
      </c>
      <c r="E14" s="63"/>
      <c r="F14" s="64">
        <v>3108.7</v>
      </c>
      <c r="G14" s="64">
        <v>1450</v>
      </c>
      <c r="H14" s="64"/>
      <c r="I14" s="64"/>
      <c r="J14" s="65">
        <f t="shared" ref="J14:J19" si="0">G14-F14</f>
        <v>-1658.6999999999998</v>
      </c>
      <c r="K14" s="65"/>
      <c r="L14" s="65"/>
      <c r="M14" s="64"/>
      <c r="N14" s="66">
        <v>45881</v>
      </c>
      <c r="O14" s="67"/>
      <c r="P14" s="67"/>
      <c r="R14" s="48"/>
      <c r="S14" s="49"/>
      <c r="T14" s="49"/>
      <c r="U14" s="49"/>
      <c r="V14" s="67"/>
    </row>
    <row r="15" ht="25" customHeight="1" spans="1:22" x14ac:dyDescent="0.25">
      <c r="A15" s="42">
        <v>45870</v>
      </c>
      <c r="B15" s="61">
        <v>45836</v>
      </c>
      <c r="C15" s="62" t="s">
        <v>62</v>
      </c>
      <c r="D15" s="63" t="s">
        <v>63</v>
      </c>
      <c r="E15" s="63"/>
      <c r="F15" s="64">
        <v>5151.84</v>
      </c>
      <c r="G15" s="64">
        <v>5400</v>
      </c>
      <c r="H15" s="64"/>
      <c r="I15" s="64"/>
      <c r="J15" s="68">
        <f t="shared" si="0"/>
        <v>248.15999999999985</v>
      </c>
      <c r="K15" s="68"/>
      <c r="L15" s="68"/>
      <c r="M15" s="64"/>
      <c r="N15" s="66">
        <v>45894</v>
      </c>
      <c r="O15" s="67"/>
      <c r="P15" s="69"/>
      <c r="R15" s="48"/>
      <c r="S15" s="49"/>
      <c r="T15" s="49"/>
      <c r="U15" s="49"/>
      <c r="V15" s="67"/>
    </row>
    <row r="16" ht="25" customHeight="1" spans="1:22" x14ac:dyDescent="0.25">
      <c r="A16" s="42">
        <v>45870</v>
      </c>
      <c r="B16" s="61">
        <v>45846</v>
      </c>
      <c r="C16" s="62" t="s">
        <v>64</v>
      </c>
      <c r="D16" s="63" t="s">
        <v>65</v>
      </c>
      <c r="E16" s="63"/>
      <c r="F16" s="64">
        <v>998.1500000000001</v>
      </c>
      <c r="G16" s="64">
        <v>1295</v>
      </c>
      <c r="H16" s="64"/>
      <c r="I16" s="64"/>
      <c r="J16" s="68">
        <f t="shared" si="0"/>
        <v>296.8499999999999</v>
      </c>
      <c r="K16" s="68"/>
      <c r="L16" s="68"/>
      <c r="M16" s="64"/>
      <c r="N16" s="66">
        <v>45892</v>
      </c>
      <c r="O16" s="67"/>
      <c r="P16" s="69"/>
      <c r="R16" s="48"/>
      <c r="S16" s="49"/>
      <c r="T16" s="49"/>
      <c r="U16" s="49"/>
      <c r="V16" s="67"/>
    </row>
    <row r="17" ht="25" customHeight="1" spans="1:22" x14ac:dyDescent="0.25">
      <c r="A17" s="42">
        <v>45870</v>
      </c>
      <c r="B17" s="61">
        <v>45855</v>
      </c>
      <c r="C17" s="62" t="s">
        <v>66</v>
      </c>
      <c r="D17" s="63" t="s">
        <v>67</v>
      </c>
      <c r="E17" s="63"/>
      <c r="F17" s="64">
        <v>1422.04</v>
      </c>
      <c r="G17" s="64">
        <v>1900</v>
      </c>
      <c r="H17" s="64"/>
      <c r="I17" s="64"/>
      <c r="J17" s="68">
        <f t="shared" si="0"/>
        <v>477.96000000000004</v>
      </c>
      <c r="K17" s="68"/>
      <c r="L17" s="68"/>
      <c r="M17" s="64"/>
      <c r="N17" s="66" t="s">
        <v>68</v>
      </c>
      <c r="O17" s="67"/>
      <c r="P17" s="69"/>
      <c r="R17" s="48"/>
      <c r="S17" s="49"/>
      <c r="T17" s="49"/>
      <c r="U17" s="49"/>
      <c r="V17" s="67"/>
    </row>
    <row r="18" ht="25" customHeight="1" spans="1:22" x14ac:dyDescent="0.25">
      <c r="A18" s="42">
        <v>45870</v>
      </c>
      <c r="B18" s="61">
        <v>45862</v>
      </c>
      <c r="C18" s="62" t="s">
        <v>69</v>
      </c>
      <c r="D18" s="63" t="s">
        <v>70</v>
      </c>
      <c r="E18" s="63"/>
      <c r="F18" s="64">
        <v>1359.7</v>
      </c>
      <c r="G18" s="64">
        <v>2200</v>
      </c>
      <c r="H18" s="64"/>
      <c r="I18" s="64"/>
      <c r="J18" s="68">
        <f t="shared" si="0"/>
        <v>840.3</v>
      </c>
      <c r="K18" s="68"/>
      <c r="L18" s="68"/>
      <c r="M18" s="64"/>
      <c r="N18" s="66">
        <v>45901</v>
      </c>
      <c r="O18" s="67"/>
      <c r="P18" s="69"/>
      <c r="R18" s="48"/>
      <c r="S18" s="49"/>
      <c r="T18" s="49"/>
      <c r="U18" s="49"/>
      <c r="V18" s="67"/>
    </row>
    <row r="19" ht="25" customHeight="1" spans="1:22" x14ac:dyDescent="0.25">
      <c r="A19" s="42">
        <v>45870</v>
      </c>
      <c r="B19" s="61">
        <v>45864</v>
      </c>
      <c r="C19" s="62" t="s">
        <v>71</v>
      </c>
      <c r="D19" s="63" t="s">
        <v>72</v>
      </c>
      <c r="E19" s="63"/>
      <c r="F19" s="64">
        <v>3090.369999999999</v>
      </c>
      <c r="G19" s="64">
        <v>3350</v>
      </c>
      <c r="H19" s="64"/>
      <c r="I19" s="64"/>
      <c r="J19" s="68">
        <f t="shared" si="0"/>
        <v>259.630000000001</v>
      </c>
      <c r="K19" s="68"/>
      <c r="L19" s="68"/>
      <c r="M19" s="64"/>
      <c r="N19" s="66">
        <v>45906</v>
      </c>
      <c r="O19" s="67"/>
      <c r="P19" s="67"/>
      <c r="R19" s="48"/>
      <c r="S19" s="49"/>
      <c r="T19" s="49"/>
      <c r="U19" s="49"/>
      <c r="V19" s="67"/>
    </row>
    <row r="20" ht="25" customHeight="1" spans="1:22" x14ac:dyDescent="0.25">
      <c r="A20" s="42">
        <v>45870</v>
      </c>
      <c r="B20" s="66"/>
      <c r="C20" s="62"/>
      <c r="D20" s="63"/>
      <c r="E20" s="63"/>
      <c r="F20" s="64"/>
      <c r="G20" s="64"/>
      <c r="H20" s="64"/>
      <c r="I20" s="64"/>
      <c r="J20" s="68"/>
      <c r="K20" s="68"/>
      <c r="L20" s="68"/>
      <c r="M20" s="64"/>
      <c r="N20" s="66"/>
      <c r="O20" s="67"/>
      <c r="P20" s="67"/>
      <c r="R20" s="48"/>
      <c r="S20" s="49"/>
      <c r="T20" s="49"/>
      <c r="U20" s="49"/>
      <c r="V20" s="67"/>
    </row>
    <row r="21" ht="25" customHeight="1" spans="1:22" x14ac:dyDescent="0.25">
      <c r="A21" s="42">
        <v>45870</v>
      </c>
      <c r="B21" s="66"/>
      <c r="C21" s="62"/>
      <c r="D21" s="63"/>
      <c r="E21" s="63"/>
      <c r="F21" s="64"/>
      <c r="G21" s="64"/>
      <c r="H21" s="45"/>
      <c r="I21" s="51" t="s">
        <v>32</v>
      </c>
      <c r="J21" s="52">
        <f>SUM(J14:J19)</f>
        <v>464.20000000000095</v>
      </c>
      <c r="K21" s="52"/>
      <c r="L21" s="52"/>
      <c r="M21" s="64"/>
      <c r="N21" s="66"/>
      <c r="O21" s="67"/>
      <c r="P21" s="67"/>
      <c r="R21" s="48"/>
      <c r="S21" s="49"/>
      <c r="T21" s="49"/>
      <c r="U21" s="49"/>
      <c r="V21" s="67"/>
    </row>
    <row r="22" ht="21" customHeight="1" spans="1:22" x14ac:dyDescent="0.25">
      <c r="A22" s="53">
        <v>45870</v>
      </c>
      <c r="B22" s="70"/>
      <c r="C22" s="71"/>
      <c r="D22" s="72"/>
      <c r="E22" s="72"/>
      <c r="F22" s="58"/>
      <c r="G22" s="73"/>
      <c r="H22" s="73"/>
      <c r="I22" s="73"/>
      <c r="J22" s="58"/>
      <c r="K22" s="58"/>
      <c r="L22" s="58"/>
      <c r="M22" s="73"/>
      <c r="N22" s="73"/>
      <c r="O22" s="73"/>
      <c r="P22" s="73"/>
      <c r="R22" s="48"/>
      <c r="S22" s="74"/>
      <c r="T22" s="74"/>
      <c r="U22" s="74"/>
      <c r="V22" s="75"/>
    </row>
    <row r="23" ht="25" customHeight="1" spans="1:22" x14ac:dyDescent="0.25">
      <c r="A23" s="76">
        <v>45901</v>
      </c>
      <c r="B23" s="43">
        <v>45855</v>
      </c>
      <c r="C23" s="44" t="s">
        <v>66</v>
      </c>
      <c r="D23" s="77" t="s">
        <v>67</v>
      </c>
      <c r="E23" s="77"/>
      <c r="F23" s="64">
        <v>1445.22</v>
      </c>
      <c r="G23" s="45">
        <v>1900</v>
      </c>
      <c r="H23" s="45"/>
      <c r="I23" s="45"/>
      <c r="J23" s="68">
        <f>G23-F23</f>
        <v>454.78</v>
      </c>
      <c r="K23" s="68"/>
      <c r="L23" s="68"/>
      <c r="M23" s="64"/>
      <c r="N23" s="45"/>
      <c r="O23" s="64"/>
      <c r="P23" s="64"/>
      <c r="R23" s="48"/>
      <c r="S23" s="50"/>
      <c r="T23" s="46"/>
      <c r="U23" s="50"/>
      <c r="V23" s="46"/>
    </row>
    <row r="24" ht="25" customHeight="1" spans="1:22" x14ac:dyDescent="0.25">
      <c r="A24" s="76">
        <v>45901</v>
      </c>
      <c r="B24" s="43">
        <v>45861</v>
      </c>
      <c r="C24" s="44" t="s">
        <v>73</v>
      </c>
      <c r="D24" s="77" t="s">
        <v>74</v>
      </c>
      <c r="E24" s="77"/>
      <c r="F24" s="64">
        <v>1981.44</v>
      </c>
      <c r="G24" s="45">
        <v>2195</v>
      </c>
      <c r="H24" s="45"/>
      <c r="I24" s="45"/>
      <c r="J24" s="68">
        <f>G24-F24</f>
        <v>213.55999999999995</v>
      </c>
      <c r="K24" s="68"/>
      <c r="L24" s="68"/>
      <c r="M24" s="64"/>
      <c r="N24" s="45"/>
      <c r="O24" s="64"/>
      <c r="P24" s="64"/>
      <c r="R24" s="48"/>
      <c r="S24" s="78"/>
      <c r="T24" s="46"/>
      <c r="U24" s="78"/>
      <c r="V24" s="46"/>
    </row>
    <row r="25" ht="25" customHeight="1" spans="1:22" x14ac:dyDescent="0.25">
      <c r="A25" s="76">
        <v>45901</v>
      </c>
      <c r="B25" s="43">
        <v>45864</v>
      </c>
      <c r="C25" s="44" t="s">
        <v>71</v>
      </c>
      <c r="D25" s="77" t="s">
        <v>72</v>
      </c>
      <c r="E25" s="77"/>
      <c r="F25" s="64">
        <v>3090.369999999999</v>
      </c>
      <c r="G25" s="45">
        <v>3350</v>
      </c>
      <c r="H25" s="45"/>
      <c r="I25" s="45"/>
      <c r="J25" s="68">
        <f>G25-F25</f>
        <v>259.630000000001</v>
      </c>
      <c r="K25" s="68"/>
      <c r="L25" s="68"/>
      <c r="M25" s="64"/>
      <c r="N25" s="45"/>
      <c r="O25" s="64"/>
      <c r="P25" s="64"/>
      <c r="R25" s="48"/>
      <c r="S25" s="50"/>
      <c r="T25" s="46"/>
      <c r="U25" s="50"/>
      <c r="V25" s="46"/>
    </row>
    <row r="26" ht="25" customHeight="1" spans="1:22" x14ac:dyDescent="0.25">
      <c r="A26" s="76">
        <v>45901</v>
      </c>
      <c r="B26" s="43">
        <v>45895</v>
      </c>
      <c r="C26" s="44" t="s">
        <v>75</v>
      </c>
      <c r="D26" s="77" t="s">
        <v>76</v>
      </c>
      <c r="E26" s="77"/>
      <c r="F26" s="64">
        <v>6168.429999999999</v>
      </c>
      <c r="G26" s="45">
        <v>7295</v>
      </c>
      <c r="H26" s="45"/>
      <c r="I26" s="45"/>
      <c r="J26" s="68">
        <f>G26-F26</f>
        <v>1126.5700000000006</v>
      </c>
      <c r="K26" s="68"/>
      <c r="L26" s="68"/>
      <c r="M26" s="64"/>
      <c r="N26" s="45"/>
      <c r="O26" s="64"/>
      <c r="P26" s="64"/>
      <c r="R26" s="48"/>
      <c r="S26" s="78"/>
      <c r="T26" s="46"/>
      <c r="U26" s="78"/>
      <c r="V26" s="46"/>
    </row>
    <row r="27" ht="25" customHeight="1" spans="1:22" x14ac:dyDescent="0.25">
      <c r="A27" s="76">
        <v>45901</v>
      </c>
      <c r="B27" s="43">
        <v>45896</v>
      </c>
      <c r="C27" s="44" t="s">
        <v>77</v>
      </c>
      <c r="D27" s="77" t="s">
        <v>78</v>
      </c>
      <c r="E27" s="77"/>
      <c r="F27" s="64">
        <v>3986.54</v>
      </c>
      <c r="G27" s="45">
        <v>5895</v>
      </c>
      <c r="H27" s="45"/>
      <c r="I27" s="45"/>
      <c r="J27" s="68">
        <f>G27-F27</f>
        <v>1908.46</v>
      </c>
      <c r="K27" s="68"/>
      <c r="L27" s="68"/>
      <c r="M27" s="64"/>
      <c r="N27" s="45"/>
      <c r="O27" s="64"/>
      <c r="P27" s="64"/>
      <c r="R27" s="48"/>
      <c r="S27" s="50"/>
      <c r="T27" s="46"/>
      <c r="U27" s="50"/>
      <c r="V27" s="46"/>
    </row>
    <row r="28" ht="25" customHeight="1" spans="1:22" x14ac:dyDescent="0.25">
      <c r="A28" s="76">
        <v>45901</v>
      </c>
      <c r="B28" s="43">
        <v>45862</v>
      </c>
      <c r="C28" s="44" t="s">
        <v>69</v>
      </c>
      <c r="D28" s="77" t="s">
        <v>70</v>
      </c>
      <c r="E28" s="77"/>
      <c r="F28" s="64">
        <v>1359.7</v>
      </c>
      <c r="G28" s="45">
        <v>2217</v>
      </c>
      <c r="H28" s="45">
        <v>343.46</v>
      </c>
      <c r="I28" s="45"/>
      <c r="J28" s="68">
        <f>G28-F28+Table13[[#This Row],[Part Ex]]</f>
        <v>1200.76</v>
      </c>
      <c r="K28" s="68"/>
      <c r="L28" s="68"/>
      <c r="M28" s="64"/>
      <c r="N28" s="45"/>
      <c r="O28" s="64"/>
      <c r="P28" s="64"/>
      <c r="R28" s="48"/>
      <c r="S28" s="50"/>
      <c r="T28" s="46"/>
      <c r="U28" s="50"/>
      <c r="V28" s="46"/>
    </row>
    <row r="29" ht="25" customHeight="1" spans="1:22" x14ac:dyDescent="0.25">
      <c r="A29" s="76">
        <v>45901</v>
      </c>
      <c r="B29" s="43" t="s">
        <v>79</v>
      </c>
      <c r="C29" s="44" t="s">
        <v>80</v>
      </c>
      <c r="D29" s="77" t="s">
        <v>81</v>
      </c>
      <c r="E29" s="77"/>
      <c r="F29" s="64">
        <v>1690.46</v>
      </c>
      <c r="G29" s="45">
        <v>3200</v>
      </c>
      <c r="H29" s="45"/>
      <c r="I29" s="45"/>
      <c r="J29" s="68">
        <f>G29-F29</f>
        <v>1509.54</v>
      </c>
      <c r="K29" s="68"/>
      <c r="L29" s="68"/>
      <c r="M29" s="64"/>
      <c r="N29" s="45"/>
      <c r="O29" s="64"/>
      <c r="P29" s="64"/>
      <c r="R29" s="48"/>
      <c r="S29" s="78"/>
      <c r="T29" s="46"/>
      <c r="U29" s="78"/>
      <c r="V29" s="46"/>
    </row>
    <row r="30" ht="25" customHeight="1" spans="1:22" x14ac:dyDescent="0.25">
      <c r="A30" s="76">
        <v>45901</v>
      </c>
      <c r="B30" s="43" t="s">
        <v>82</v>
      </c>
      <c r="C30" s="44" t="s">
        <v>83</v>
      </c>
      <c r="D30" s="77" t="s">
        <v>74</v>
      </c>
      <c r="E30" s="77"/>
      <c r="F30" s="64">
        <v>1741.67</v>
      </c>
      <c r="G30" s="45">
        <v>2295</v>
      </c>
      <c r="H30" s="45"/>
      <c r="I30" s="45"/>
      <c r="J30" s="68">
        <f>G30-F30</f>
        <v>553.3299999999999</v>
      </c>
      <c r="K30" s="68"/>
      <c r="L30" s="68"/>
      <c r="M30" s="64"/>
      <c r="N30" s="45"/>
      <c r="O30" s="64"/>
      <c r="P30" s="64"/>
      <c r="R30" s="48"/>
      <c r="S30" s="50"/>
      <c r="T30" s="46"/>
      <c r="U30" s="50"/>
      <c r="V30" s="46"/>
    </row>
    <row r="31" ht="25" customHeight="1" spans="1:22" x14ac:dyDescent="0.25">
      <c r="A31" s="76">
        <v>45901</v>
      </c>
      <c r="B31" s="43" t="s">
        <v>84</v>
      </c>
      <c r="C31" s="44" t="s">
        <v>85</v>
      </c>
      <c r="D31" s="77" t="s">
        <v>86</v>
      </c>
      <c r="E31" s="77"/>
      <c r="F31" s="64">
        <v>1719.95</v>
      </c>
      <c r="G31" s="45">
        <v>2900</v>
      </c>
      <c r="H31" s="45"/>
      <c r="I31" s="45"/>
      <c r="J31" s="68">
        <f>G31-F31</f>
        <v>1180.05</v>
      </c>
      <c r="K31" s="68"/>
      <c r="L31" s="68"/>
      <c r="M31" s="64"/>
      <c r="N31" s="45"/>
      <c r="O31" s="64"/>
      <c r="P31" s="64"/>
      <c r="R31" s="48"/>
      <c r="S31" s="78"/>
      <c r="T31" s="46"/>
      <c r="U31" s="78"/>
      <c r="V31" s="46"/>
    </row>
    <row r="32" ht="25" customHeight="1" spans="1:22" x14ac:dyDescent="0.25">
      <c r="A32" s="76">
        <v>45901</v>
      </c>
      <c r="B32" s="43" t="s">
        <v>87</v>
      </c>
      <c r="C32" s="44" t="s">
        <v>88</v>
      </c>
      <c r="D32" s="77" t="s">
        <v>86</v>
      </c>
      <c r="E32" s="77"/>
      <c r="F32" s="64">
        <v>3104.93</v>
      </c>
      <c r="G32" s="45">
        <v>4565</v>
      </c>
      <c r="H32" s="45"/>
      <c r="I32" s="45"/>
      <c r="J32" s="68">
        <f>G32-F32</f>
        <v>1460.0700000000002</v>
      </c>
      <c r="K32" s="68"/>
      <c r="L32" s="68"/>
      <c r="M32" s="64"/>
      <c r="N32" s="45"/>
      <c r="O32" s="64"/>
      <c r="P32" s="64"/>
      <c r="R32" s="48"/>
      <c r="S32" s="78"/>
      <c r="T32" s="78"/>
      <c r="U32" s="78"/>
      <c r="V32" s="78"/>
    </row>
    <row r="33" ht="25" customHeight="1" spans="1:22" x14ac:dyDescent="0.25">
      <c r="A33" s="76">
        <v>45901</v>
      </c>
      <c r="B33" s="46"/>
      <c r="C33" s="44"/>
      <c r="D33" s="77"/>
      <c r="E33" s="77"/>
      <c r="F33" s="45"/>
      <c r="G33" s="45"/>
      <c r="H33" s="45"/>
      <c r="I33" s="45"/>
      <c r="J33" s="68"/>
      <c r="K33" s="68"/>
      <c r="L33" s="68"/>
      <c r="M33" s="45"/>
      <c r="N33" s="46"/>
      <c r="O33" s="78"/>
      <c r="P33" s="78"/>
      <c r="R33" s="48"/>
      <c r="S33" s="79"/>
      <c r="T33" s="79"/>
      <c r="U33" s="79"/>
      <c r="V33" s="78"/>
    </row>
    <row r="34" ht="25" customHeight="1" spans="1:22" x14ac:dyDescent="0.25">
      <c r="A34" s="76">
        <v>45901</v>
      </c>
      <c r="B34" s="46"/>
      <c r="C34" s="77"/>
      <c r="D34" s="77"/>
      <c r="E34" s="77"/>
      <c r="F34" s="45"/>
      <c r="G34" s="45"/>
      <c r="H34" s="45"/>
      <c r="I34" s="51" t="s">
        <v>32</v>
      </c>
      <c r="J34" s="52">
        <f>SUM(J23:J32)</f>
        <v>9866.750000000002</v>
      </c>
      <c r="K34" s="52"/>
      <c r="L34" s="52"/>
      <c r="M34" s="45"/>
      <c r="N34" s="46"/>
      <c r="O34" s="78"/>
      <c r="P34" s="78"/>
      <c r="R34" s="48"/>
      <c r="S34" s="79"/>
      <c r="T34" s="79"/>
      <c r="U34" s="79"/>
      <c r="V34" s="78"/>
    </row>
    <row r="35" ht="25" customHeight="1" spans="1:22" x14ac:dyDescent="0.25">
      <c r="A35" s="80">
        <v>45901</v>
      </c>
      <c r="B35" s="81"/>
      <c r="C35" s="81"/>
      <c r="D35" s="81"/>
      <c r="E35" s="82"/>
      <c r="F35" s="83"/>
      <c r="G35" s="81"/>
      <c r="H35" s="81"/>
      <c r="I35" s="81"/>
      <c r="J35" s="81"/>
      <c r="K35" s="81"/>
      <c r="L35" s="81"/>
      <c r="M35" s="83"/>
      <c r="N35" s="81"/>
      <c r="O35" s="81"/>
      <c r="P35" s="81"/>
      <c r="R35" s="48"/>
      <c r="S35" s="84"/>
      <c r="T35" s="84"/>
      <c r="U35" s="84"/>
      <c r="V35" s="78"/>
    </row>
    <row r="36" ht="21.75" customHeight="1" spans="1:22" x14ac:dyDescent="0.25">
      <c r="A36" s="76">
        <v>45931</v>
      </c>
      <c r="B36" s="43">
        <v>45906</v>
      </c>
      <c r="C36" s="77" t="s">
        <v>89</v>
      </c>
      <c r="D36" s="77" t="s">
        <v>90</v>
      </c>
      <c r="E36" s="44"/>
      <c r="F36" s="45">
        <v>3530.94</v>
      </c>
      <c r="G36" s="45">
        <v>3995</v>
      </c>
      <c r="H36" s="45"/>
      <c r="I36" s="45"/>
      <c r="J36" s="68">
        <f t="shared" ref="J36:J43" si="1">G36-F36</f>
        <v>464.05999999999995</v>
      </c>
      <c r="K36" s="68"/>
      <c r="L36" s="68"/>
      <c r="M36" s="85"/>
      <c r="N36" s="78"/>
      <c r="O36" s="78"/>
      <c r="P36" s="78"/>
      <c r="R36" s="48"/>
      <c r="S36" s="49"/>
      <c r="T36" s="49"/>
      <c r="U36" s="49"/>
      <c r="V36" s="78"/>
    </row>
    <row r="37" ht="21.75" customHeight="1" spans="1:22" x14ac:dyDescent="0.25">
      <c r="A37" s="76">
        <v>45931</v>
      </c>
      <c r="B37" s="43">
        <v>45916</v>
      </c>
      <c r="C37" s="77" t="s">
        <v>91</v>
      </c>
      <c r="D37" s="77" t="s">
        <v>92</v>
      </c>
      <c r="E37" s="44"/>
      <c r="F37" s="45">
        <v>2450.67</v>
      </c>
      <c r="G37" s="45">
        <v>4000</v>
      </c>
      <c r="H37" s="45"/>
      <c r="I37" s="45"/>
      <c r="J37" s="68">
        <f t="shared" si="1"/>
        <v>1549.33</v>
      </c>
      <c r="K37" s="68"/>
      <c r="L37" s="68"/>
      <c r="M37" s="85"/>
      <c r="N37" s="78"/>
      <c r="O37" s="78"/>
      <c r="P37" s="78"/>
      <c r="R37" s="48"/>
      <c r="S37" s="49"/>
      <c r="T37" s="49"/>
      <c r="U37" s="49"/>
      <c r="V37" s="78"/>
    </row>
    <row r="38" ht="21.75" customHeight="1" spans="1:22" x14ac:dyDescent="0.25">
      <c r="A38" s="76">
        <v>45931</v>
      </c>
      <c r="B38" s="43">
        <v>45915</v>
      </c>
      <c r="C38" s="77" t="s">
        <v>93</v>
      </c>
      <c r="D38" s="77" t="s">
        <v>94</v>
      </c>
      <c r="E38" s="44"/>
      <c r="F38" s="45">
        <v>1649.24</v>
      </c>
      <c r="G38" s="45">
        <v>2600</v>
      </c>
      <c r="H38" s="45"/>
      <c r="I38" s="45"/>
      <c r="J38" s="68">
        <f t="shared" si="1"/>
        <v>950.76</v>
      </c>
      <c r="K38" s="68"/>
      <c r="L38" s="68"/>
      <c r="M38" s="85"/>
      <c r="N38" s="78"/>
      <c r="O38" s="78"/>
      <c r="P38" s="78"/>
      <c r="R38" s="48"/>
      <c r="S38" s="49"/>
      <c r="T38" s="49"/>
      <c r="U38" s="49"/>
      <c r="V38" s="78"/>
    </row>
    <row r="39" ht="21.75" customHeight="1" spans="1:22" x14ac:dyDescent="0.25">
      <c r="A39" s="76">
        <v>45931</v>
      </c>
      <c r="B39" s="43">
        <v>45922</v>
      </c>
      <c r="C39" s="77" t="s">
        <v>95</v>
      </c>
      <c r="D39" s="77" t="s">
        <v>96</v>
      </c>
      <c r="E39" s="44"/>
      <c r="F39" s="45">
        <v>1051.16</v>
      </c>
      <c r="G39" s="45">
        <v>2400</v>
      </c>
      <c r="H39" s="45"/>
      <c r="I39" s="45"/>
      <c r="J39" s="68">
        <f t="shared" si="1"/>
        <v>1348.84</v>
      </c>
      <c r="K39" s="68"/>
      <c r="L39" s="68"/>
      <c r="M39" s="85"/>
      <c r="N39" s="78"/>
      <c r="O39" s="78"/>
      <c r="P39" s="78"/>
      <c r="R39" s="48"/>
      <c r="S39" s="49"/>
      <c r="T39" s="49"/>
      <c r="U39" s="49"/>
      <c r="V39" s="78"/>
    </row>
    <row r="40" ht="21.75" customHeight="1" spans="1:22" x14ac:dyDescent="0.25">
      <c r="A40" s="76">
        <v>45931</v>
      </c>
      <c r="B40" s="43">
        <v>45924</v>
      </c>
      <c r="C40" s="77" t="s">
        <v>97</v>
      </c>
      <c r="D40" s="77" t="s">
        <v>98</v>
      </c>
      <c r="E40" s="44"/>
      <c r="F40" s="45">
        <v>910.3100000000001</v>
      </c>
      <c r="G40" s="45">
        <v>1995</v>
      </c>
      <c r="H40" s="45"/>
      <c r="I40" s="45"/>
      <c r="J40" s="68">
        <f t="shared" si="1"/>
        <v>1084.69</v>
      </c>
      <c r="K40" s="68"/>
      <c r="L40" s="68"/>
      <c r="M40" s="85"/>
      <c r="N40" s="78"/>
      <c r="O40" s="78"/>
      <c r="P40" s="78"/>
      <c r="R40" s="48"/>
      <c r="S40" s="49"/>
      <c r="T40" s="49"/>
      <c r="U40" s="49"/>
      <c r="V40" s="78"/>
    </row>
    <row r="41" ht="21.75" customHeight="1" spans="1:22" x14ac:dyDescent="0.25">
      <c r="A41" s="76">
        <v>45931</v>
      </c>
      <c r="B41" s="43">
        <v>45931</v>
      </c>
      <c r="C41" s="77" t="s">
        <v>99</v>
      </c>
      <c r="D41" s="77" t="s">
        <v>100</v>
      </c>
      <c r="E41" s="44"/>
      <c r="F41" s="45">
        <v>3434.130000000001</v>
      </c>
      <c r="G41" s="45">
        <v>5995</v>
      </c>
      <c r="H41" s="45"/>
      <c r="I41" s="45"/>
      <c r="J41" s="68">
        <f t="shared" si="1"/>
        <v>2560.869999999999</v>
      </c>
      <c r="K41" s="68"/>
      <c r="L41" s="68"/>
      <c r="M41" s="85"/>
      <c r="N41" s="78"/>
      <c r="O41" s="78"/>
      <c r="P41" s="78"/>
      <c r="R41" s="48"/>
      <c r="S41" s="49"/>
      <c r="T41" s="49"/>
      <c r="U41" s="49"/>
      <c r="V41" s="78"/>
    </row>
    <row r="42" ht="21.75" customHeight="1" spans="1:22" x14ac:dyDescent="0.25">
      <c r="A42" s="76">
        <v>45931</v>
      </c>
      <c r="B42" s="43">
        <v>45935</v>
      </c>
      <c r="C42" s="77" t="s">
        <v>101</v>
      </c>
      <c r="D42" s="77" t="s">
        <v>102</v>
      </c>
      <c r="E42" s="44"/>
      <c r="F42" s="45">
        <v>1625.91</v>
      </c>
      <c r="G42" s="45">
        <v>3100</v>
      </c>
      <c r="H42" s="45"/>
      <c r="I42" s="45"/>
      <c r="J42" s="68">
        <f t="shared" si="1"/>
        <v>1474.09</v>
      </c>
      <c r="K42" s="68"/>
      <c r="L42" s="68"/>
      <c r="M42" s="85"/>
      <c r="N42" s="78"/>
      <c r="O42" s="78"/>
      <c r="P42" s="78"/>
      <c r="R42" s="48"/>
      <c r="S42" s="49"/>
      <c r="T42" s="49"/>
      <c r="U42" s="49"/>
      <c r="V42" s="78"/>
    </row>
    <row r="43" ht="21.75" customHeight="1" spans="1:22" x14ac:dyDescent="0.25">
      <c r="A43" s="76">
        <v>45931</v>
      </c>
      <c r="B43" s="43">
        <v>45950</v>
      </c>
      <c r="C43" s="77" t="s">
        <v>103</v>
      </c>
      <c r="D43" s="77" t="s">
        <v>94</v>
      </c>
      <c r="E43" s="44"/>
      <c r="F43" s="45">
        <v>1964.54</v>
      </c>
      <c r="G43" s="45">
        <v>2650</v>
      </c>
      <c r="H43" s="45"/>
      <c r="I43" s="45"/>
      <c r="J43" s="68">
        <f t="shared" si="1"/>
        <v>685.46</v>
      </c>
      <c r="K43" s="68"/>
      <c r="L43" s="68"/>
      <c r="M43" s="85"/>
      <c r="N43" s="78"/>
      <c r="O43" s="78"/>
      <c r="P43" s="78"/>
      <c r="R43" s="48"/>
      <c r="S43" s="84"/>
      <c r="T43" s="84"/>
      <c r="U43" s="84"/>
      <c r="V43" s="78"/>
    </row>
    <row r="44" ht="21.75" customHeight="1" spans="1:22" x14ac:dyDescent="0.25">
      <c r="A44" s="76">
        <v>45931</v>
      </c>
      <c r="B44" s="43"/>
      <c r="C44" s="77"/>
      <c r="D44" s="77"/>
      <c r="E44" s="44"/>
      <c r="F44" s="45"/>
      <c r="G44" s="45"/>
      <c r="H44" s="45"/>
      <c r="I44" s="45"/>
      <c r="J44" s="68"/>
      <c r="K44" s="68"/>
      <c r="L44" s="68"/>
      <c r="M44" s="85"/>
      <c r="N44" s="78"/>
      <c r="O44" s="78"/>
      <c r="P44" s="78"/>
      <c r="R44" s="48"/>
      <c r="S44" s="84"/>
      <c r="T44" s="84"/>
      <c r="U44" s="84"/>
      <c r="V44" s="78"/>
    </row>
    <row r="45" ht="21.75" customHeight="1" spans="1:22" x14ac:dyDescent="0.25">
      <c r="A45" s="76">
        <v>45931</v>
      </c>
      <c r="B45" s="43"/>
      <c r="C45" s="77"/>
      <c r="D45" s="77"/>
      <c r="E45" s="44"/>
      <c r="F45" s="45"/>
      <c r="G45" s="45"/>
      <c r="H45" s="45"/>
      <c r="I45" s="51" t="s">
        <v>32</v>
      </c>
      <c r="J45" s="52">
        <f>SUM(J36:J43)</f>
        <v>10118.099999999999</v>
      </c>
      <c r="K45" s="52"/>
      <c r="L45" s="52"/>
      <c r="M45" s="85"/>
      <c r="N45" s="78"/>
      <c r="O45" s="78"/>
      <c r="P45" s="78"/>
      <c r="R45" s="48"/>
      <c r="S45" s="84"/>
      <c r="T45" s="84"/>
      <c r="U45" s="84"/>
      <c r="V45" s="78"/>
    </row>
    <row r="46" ht="21.75" customHeight="1" spans="1:22" x14ac:dyDescent="0.25">
      <c r="A46" s="80">
        <v>45931</v>
      </c>
      <c r="B46" s="82"/>
      <c r="C46" s="81"/>
      <c r="D46" s="81"/>
      <c r="E46" s="82"/>
      <c r="F46" s="83"/>
      <c r="G46" s="81"/>
      <c r="H46" s="81"/>
      <c r="I46" s="81"/>
      <c r="J46" s="81"/>
      <c r="K46" s="81"/>
      <c r="L46" s="81"/>
      <c r="M46" s="83"/>
      <c r="N46" s="81"/>
      <c r="O46" s="81"/>
      <c r="P46" s="81"/>
      <c r="R46" s="48"/>
      <c r="S46" s="84"/>
      <c r="T46" s="84"/>
      <c r="U46" s="84"/>
      <c r="V46" s="78"/>
    </row>
    <row r="47" ht="22" customHeight="1" spans="1:22" x14ac:dyDescent="0.25">
      <c r="A47" s="76">
        <v>45962</v>
      </c>
      <c r="B47" s="43">
        <v>45860</v>
      </c>
      <c r="C47" s="77" t="s">
        <v>104</v>
      </c>
      <c r="D47" s="77" t="s">
        <v>105</v>
      </c>
      <c r="E47" s="86" t="s">
        <v>106</v>
      </c>
      <c r="F47" s="45">
        <f>'Stock Data'!K86</f>
        <v>6035.869999999998</v>
      </c>
      <c r="G47" s="45">
        <v>6300</v>
      </c>
      <c r="H47" s="45"/>
      <c r="I47" s="87" t="s">
        <v>107</v>
      </c>
      <c r="J47" s="68">
        <f t="shared" ref="J47:J60" si="2">G47-F47</f>
        <v>264.1300000000019</v>
      </c>
      <c r="K47" s="68"/>
      <c r="L47" s="68">
        <v>264.1300000000019</v>
      </c>
      <c r="M47" s="45"/>
      <c r="N47" s="46">
        <v>45967</v>
      </c>
      <c r="O47" s="78"/>
      <c r="P47" s="78"/>
      <c r="R47" s="48"/>
      <c r="S47" s="49"/>
      <c r="T47" s="49"/>
      <c r="U47" s="49"/>
      <c r="V47" s="78"/>
    </row>
    <row r="48" ht="24.75" customHeight="1" spans="1:22" x14ac:dyDescent="0.25">
      <c r="A48" s="76">
        <v>45962</v>
      </c>
      <c r="B48" s="43"/>
      <c r="C48" s="77" t="s">
        <v>108</v>
      </c>
      <c r="D48" s="77" t="s">
        <v>109</v>
      </c>
      <c r="E48" s="44" t="s">
        <v>110</v>
      </c>
      <c r="F48" s="45">
        <f>'Stock Data'!K89</f>
        <v>4386.43</v>
      </c>
      <c r="G48" s="88">
        <v>5394</v>
      </c>
      <c r="H48" s="45"/>
      <c r="I48" s="89" t="s">
        <v>111</v>
      </c>
      <c r="J48" s="68">
        <f t="shared" si="2"/>
        <v>1007.5699999999997</v>
      </c>
      <c r="K48" s="68">
        <f>Table13[[#This Row],[Total Profit]]-Table13[[#This Row],[MP Profit]]</f>
        <v>403.0279999999999</v>
      </c>
      <c r="L48" s="68">
        <f>Table13[[#This Row],[Total Profit]]*0.6</f>
        <v>604.5419999999998</v>
      </c>
      <c r="M48" s="45"/>
      <c r="N48" s="46"/>
      <c r="O48" s="78"/>
      <c r="P48" s="78"/>
      <c r="R48" s="48"/>
      <c r="S48" s="49"/>
      <c r="T48" s="49"/>
      <c r="U48" s="49"/>
      <c r="V48" s="78"/>
    </row>
    <row r="49" ht="24.75" customHeight="1" spans="1:22" x14ac:dyDescent="0.25">
      <c r="A49" s="76">
        <v>45962</v>
      </c>
      <c r="B49" s="46"/>
      <c r="C49" s="77" t="s">
        <v>112</v>
      </c>
      <c r="D49" s="77" t="s">
        <v>86</v>
      </c>
      <c r="E49" s="44" t="s">
        <v>113</v>
      </c>
      <c r="F49" s="45">
        <f>'Stock Data'!K93</f>
        <v>4542.54</v>
      </c>
      <c r="G49" s="45">
        <v>5795</v>
      </c>
      <c r="H49" s="45"/>
      <c r="I49" s="89" t="s">
        <v>114</v>
      </c>
      <c r="J49" s="68">
        <f t="shared" si="2"/>
        <v>1252.46</v>
      </c>
      <c r="K49" s="68">
        <f>Table13[[#This Row],[Total Profit]]-Table13[[#This Row],[MP Profit]]</f>
        <v>626.23</v>
      </c>
      <c r="L49" s="68">
        <f>Table13[[#This Row],[Total Profit]]*0.5</f>
        <v>626.23</v>
      </c>
      <c r="M49" s="45"/>
      <c r="N49" s="46">
        <v>45966</v>
      </c>
      <c r="O49" s="78"/>
      <c r="P49" s="78"/>
      <c r="R49" s="48"/>
      <c r="S49" s="49"/>
      <c r="T49" s="49"/>
      <c r="U49" s="49"/>
      <c r="V49" s="78"/>
    </row>
    <row r="50" ht="24.75" customHeight="1" spans="1:22" x14ac:dyDescent="0.25">
      <c r="A50" s="76">
        <v>45962</v>
      </c>
      <c r="B50" s="46"/>
      <c r="C50" s="77" t="s">
        <v>115</v>
      </c>
      <c r="D50" s="77" t="s">
        <v>86</v>
      </c>
      <c r="E50" s="44" t="s">
        <v>113</v>
      </c>
      <c r="F50" s="45">
        <v>5243.21</v>
      </c>
      <c r="G50" s="90">
        <v>6795</v>
      </c>
      <c r="H50" s="45"/>
      <c r="I50" s="89" t="s">
        <v>114</v>
      </c>
      <c r="J50" s="68">
        <f t="shared" si="2"/>
        <v>1551.79</v>
      </c>
      <c r="K50" s="68">
        <f>Table13[[#This Row],[Total Profit]]-Table13[[#This Row],[MP Profit]]</f>
        <v>775.895</v>
      </c>
      <c r="L50" s="68">
        <f>Table13[[#This Row],[Total Profit]]*0.5</f>
        <v>775.895</v>
      </c>
      <c r="M50" s="45"/>
      <c r="N50" s="46">
        <v>45974</v>
      </c>
      <c r="O50" s="78"/>
      <c r="P50" s="78"/>
      <c r="R50" s="48"/>
      <c r="S50" s="49"/>
      <c r="T50" s="49"/>
      <c r="U50" s="49"/>
      <c r="V50" s="78"/>
    </row>
    <row r="51" ht="24.75" customHeight="1" spans="1:22" x14ac:dyDescent="0.25">
      <c r="A51" s="76">
        <v>45962</v>
      </c>
      <c r="B51" s="46"/>
      <c r="C51" s="44" t="s">
        <v>116</v>
      </c>
      <c r="D51" s="77" t="s">
        <v>81</v>
      </c>
      <c r="E51" s="44" t="s">
        <v>107</v>
      </c>
      <c r="F51" s="45">
        <f>'Stock Data'!K88</f>
        <v>3149.04</v>
      </c>
      <c r="G51" s="45">
        <v>3795</v>
      </c>
      <c r="H51" s="45" t="s">
        <v>117</v>
      </c>
      <c r="I51" s="87" t="s">
        <v>107</v>
      </c>
      <c r="J51" s="68">
        <f t="shared" si="2"/>
        <v>645.96</v>
      </c>
      <c r="K51" s="68"/>
      <c r="L51" s="68">
        <f>Table13[[#This Row],[Total Profit]]</f>
        <v>645.96</v>
      </c>
      <c r="M51" s="45"/>
      <c r="N51" s="46">
        <v>45976</v>
      </c>
      <c r="O51" s="78"/>
      <c r="P51" s="78"/>
      <c r="R51" s="48"/>
      <c r="S51" s="49"/>
      <c r="T51" s="49"/>
      <c r="U51" s="49"/>
      <c r="V51" s="78"/>
    </row>
    <row r="52" ht="24.75" customHeight="1" spans="1:22" x14ac:dyDescent="0.25">
      <c r="A52" s="76">
        <v>45962</v>
      </c>
      <c r="B52" s="46"/>
      <c r="C52" s="44" t="s">
        <v>118</v>
      </c>
      <c r="D52" s="77" t="s">
        <v>119</v>
      </c>
      <c r="E52" s="44" t="s">
        <v>107</v>
      </c>
      <c r="F52" s="45">
        <f>'Stock Data'!K92</f>
        <v>2421.85</v>
      </c>
      <c r="G52" s="45">
        <v>2989.66</v>
      </c>
      <c r="H52" s="45"/>
      <c r="I52" s="87" t="s">
        <v>107</v>
      </c>
      <c r="J52" s="68">
        <f t="shared" si="2"/>
        <v>567.81</v>
      </c>
      <c r="K52" s="68"/>
      <c r="L52" s="68">
        <v>806.21</v>
      </c>
      <c r="M52" s="45"/>
      <c r="N52" s="46">
        <v>45980</v>
      </c>
      <c r="O52" s="78"/>
      <c r="P52" s="78"/>
      <c r="R52" s="48"/>
      <c r="S52" s="49"/>
      <c r="T52" s="49"/>
      <c r="U52" s="49"/>
      <c r="V52" s="78"/>
    </row>
    <row r="53" ht="24.75" customHeight="1" spans="1:22" x14ac:dyDescent="0.25">
      <c r="A53" s="76">
        <v>45962</v>
      </c>
      <c r="B53" s="46"/>
      <c r="C53" s="44" t="s">
        <v>120</v>
      </c>
      <c r="D53" s="77" t="s">
        <v>65</v>
      </c>
      <c r="E53" s="44" t="s">
        <v>107</v>
      </c>
      <c r="F53" s="45">
        <f>'Stock Data'!K85</f>
        <v>3651.52</v>
      </c>
      <c r="G53" s="45">
        <v>3550</v>
      </c>
      <c r="H53" s="45"/>
      <c r="I53" s="87" t="s">
        <v>107</v>
      </c>
      <c r="J53" s="68">
        <f t="shared" si="2"/>
        <v>-101.51999999999998</v>
      </c>
      <c r="K53" s="68"/>
      <c r="L53" s="65">
        <f>Table13[[#This Row],[Total Profit]]</f>
        <v>-101.51999999999998</v>
      </c>
      <c r="M53" s="45"/>
      <c r="N53" s="46">
        <v>45980</v>
      </c>
      <c r="O53" s="78"/>
      <c r="P53" s="78"/>
      <c r="R53" s="48"/>
      <c r="S53" s="49"/>
      <c r="T53" s="49"/>
      <c r="U53" s="49"/>
      <c r="V53" s="78"/>
    </row>
    <row r="54" ht="24.75" customHeight="1" spans="1:22" x14ac:dyDescent="0.25">
      <c r="A54" s="76">
        <v>45962</v>
      </c>
      <c r="B54" s="46"/>
      <c r="C54" s="44" t="s">
        <v>121</v>
      </c>
      <c r="D54" s="77" t="s">
        <v>122</v>
      </c>
      <c r="E54" s="44" t="s">
        <v>110</v>
      </c>
      <c r="F54" s="45">
        <f>'Stock Data'!K96</f>
        <v>2386.87</v>
      </c>
      <c r="G54" s="45">
        <v>4695</v>
      </c>
      <c r="H54" s="45"/>
      <c r="I54" s="89" t="s">
        <v>111</v>
      </c>
      <c r="J54" s="68">
        <f t="shared" si="2"/>
        <v>2308.13</v>
      </c>
      <c r="K54" s="68">
        <f>Table13[[#This Row],[Total Profit]]-Table13[[#This Row],[MP Profit]]</f>
        <v>923.2520000000002</v>
      </c>
      <c r="L54" s="68">
        <f>Table13[[#This Row],[Total Profit]]*0.6</f>
        <v>1384.878</v>
      </c>
      <c r="M54" s="45"/>
      <c r="N54" s="46">
        <v>45976</v>
      </c>
      <c r="O54" s="78"/>
      <c r="P54" s="78"/>
      <c r="R54" s="48"/>
      <c r="S54" s="49"/>
      <c r="T54" s="49"/>
      <c r="U54" s="49"/>
      <c r="V54" s="78"/>
    </row>
    <row r="55" ht="24.75" customHeight="1" spans="1:22" x14ac:dyDescent="0.25">
      <c r="A55" s="76">
        <v>45962</v>
      </c>
      <c r="B55" s="46"/>
      <c r="C55" s="44" t="s">
        <v>123</v>
      </c>
      <c r="D55" s="77" t="s">
        <v>124</v>
      </c>
      <c r="E55" s="44" t="s">
        <v>125</v>
      </c>
      <c r="F55" s="45">
        <f>'Stock Data'!K91</f>
        <v>3516.24</v>
      </c>
      <c r="G55" s="45">
        <v>5591.61</v>
      </c>
      <c r="H55" s="45"/>
      <c r="I55" s="89" t="s">
        <v>111</v>
      </c>
      <c r="J55" s="68">
        <f t="shared" si="2"/>
        <v>2075.37</v>
      </c>
      <c r="K55" s="68">
        <f>Table13[[#This Row],[Total Profit]]-Table13[[#This Row],[MP Profit]]</f>
        <v>830.1479999999999</v>
      </c>
      <c r="L55" s="68">
        <f>Table13[[#This Row],[Total Profit]]*0.6</f>
        <v>1245.222</v>
      </c>
      <c r="M55" s="45"/>
      <c r="N55" s="46">
        <v>45976</v>
      </c>
      <c r="O55" s="78"/>
      <c r="P55" s="78"/>
      <c r="R55" s="48"/>
      <c r="S55" s="49"/>
      <c r="T55" s="49"/>
      <c r="U55" s="49"/>
      <c r="V55" s="78"/>
    </row>
    <row r="56" ht="25.5" customHeight="1" spans="1:22" x14ac:dyDescent="0.25">
      <c r="A56" s="76">
        <v>45962</v>
      </c>
      <c r="B56" s="46"/>
      <c r="C56" s="44" t="s">
        <v>126</v>
      </c>
      <c r="D56" s="77" t="s">
        <v>78</v>
      </c>
      <c r="E56" s="44" t="s">
        <v>125</v>
      </c>
      <c r="F56" s="45">
        <f>'Stock Data'!K90</f>
        <v>3949.3500000000004</v>
      </c>
      <c r="G56" s="45">
        <v>5795</v>
      </c>
      <c r="H56" s="45"/>
      <c r="I56" s="89" t="s">
        <v>111</v>
      </c>
      <c r="J56" s="68">
        <f t="shared" si="2"/>
        <v>1845.6499999999996</v>
      </c>
      <c r="K56" s="68">
        <f>Table13[[#This Row],[Total Profit]]*0.4</f>
        <v>738.2599999999999</v>
      </c>
      <c r="L56" s="68">
        <f>Table13[[#This Row],[Total Profit]]*0.6</f>
        <v>1107.3899999999996</v>
      </c>
      <c r="M56" s="45"/>
      <c r="N56" s="46">
        <v>45983</v>
      </c>
      <c r="O56" s="78"/>
      <c r="P56" s="78"/>
      <c r="R56" s="48"/>
      <c r="S56" s="49"/>
      <c r="T56" s="49"/>
      <c r="U56" s="49"/>
      <c r="V56" s="78"/>
    </row>
    <row r="57" ht="25.5" customHeight="1" spans="1:22" x14ac:dyDescent="0.25">
      <c r="A57" s="76">
        <v>45962</v>
      </c>
      <c r="B57" s="46"/>
      <c r="C57" s="77" t="s">
        <v>127</v>
      </c>
      <c r="D57" s="77" t="s">
        <v>128</v>
      </c>
      <c r="E57" s="44" t="s">
        <v>129</v>
      </c>
      <c r="F57" s="45">
        <f>'Stock Data'!K98</f>
        <v>5437.63</v>
      </c>
      <c r="G57" s="45">
        <v>8602</v>
      </c>
      <c r="H57" s="45"/>
      <c r="I57" s="89" t="s">
        <v>114</v>
      </c>
      <c r="J57" s="68">
        <f t="shared" si="2"/>
        <v>3164.37</v>
      </c>
      <c r="K57" s="68">
        <f>Table13[[#This Row],[Total Profit]]/2</f>
        <v>1582.185</v>
      </c>
      <c r="L57" s="68">
        <f>1582.185+140.9</f>
        <v>1723.085</v>
      </c>
      <c r="M57" s="45"/>
      <c r="N57" s="46">
        <v>45988</v>
      </c>
      <c r="O57" s="78"/>
      <c r="P57" s="78"/>
      <c r="R57" s="48"/>
      <c r="S57" s="49"/>
      <c r="T57" s="49"/>
      <c r="U57" s="49"/>
      <c r="V57" s="78"/>
    </row>
    <row r="58" ht="25.5" customHeight="1" spans="1:22" x14ac:dyDescent="0.25">
      <c r="A58" s="76">
        <v>45962</v>
      </c>
      <c r="B58" s="46"/>
      <c r="C58" s="77" t="s">
        <v>130</v>
      </c>
      <c r="D58" s="77" t="s">
        <v>131</v>
      </c>
      <c r="E58" s="44" t="s">
        <v>113</v>
      </c>
      <c r="F58" s="45">
        <f>'Stock Data'!K103</f>
        <v>5477.23</v>
      </c>
      <c r="G58" s="45">
        <v>7250</v>
      </c>
      <c r="H58" s="45"/>
      <c r="I58" s="89" t="s">
        <v>114</v>
      </c>
      <c r="J58" s="68">
        <f t="shared" si="2"/>
        <v>1772.7700000000004</v>
      </c>
      <c r="K58" s="68">
        <f>Table13[[#This Row],[Total Profit]]/2</f>
        <v>886.3850000000002</v>
      </c>
      <c r="L58" s="68">
        <f>Table13[[#This Row],[Total Profit]]/2</f>
        <v>886.3850000000002</v>
      </c>
      <c r="M58" s="45"/>
      <c r="N58" s="46">
        <v>45989</v>
      </c>
      <c r="O58" s="78"/>
      <c r="P58" s="78"/>
      <c r="R58" s="48"/>
      <c r="S58" s="49"/>
      <c r="T58" s="49"/>
      <c r="U58" s="49"/>
      <c r="V58" s="78"/>
    </row>
    <row r="59" ht="25.5" customHeight="1" spans="1:22" x14ac:dyDescent="0.25">
      <c r="A59" s="76">
        <v>45962</v>
      </c>
      <c r="B59" s="46"/>
      <c r="C59" s="44" t="s">
        <v>132</v>
      </c>
      <c r="D59" s="77" t="s">
        <v>94</v>
      </c>
      <c r="E59" s="44" t="s">
        <v>113</v>
      </c>
      <c r="F59" s="45">
        <f>'Stock Data'!K95</f>
        <v>2576</v>
      </c>
      <c r="G59" s="45">
        <v>3900</v>
      </c>
      <c r="H59" s="45"/>
      <c r="I59" s="89" t="s">
        <v>114</v>
      </c>
      <c r="J59" s="68">
        <f t="shared" si="2"/>
        <v>1324</v>
      </c>
      <c r="K59" s="68">
        <f>Table13[[#This Row],[Total Profit]]/2</f>
        <v>662</v>
      </c>
      <c r="L59" s="68">
        <f>Table13[[#This Row],[Total Profit]]/2</f>
        <v>662</v>
      </c>
      <c r="M59" s="45"/>
      <c r="N59" s="46">
        <v>45990</v>
      </c>
      <c r="O59" s="78"/>
      <c r="P59" s="78"/>
      <c r="R59" s="48"/>
      <c r="S59" s="49"/>
      <c r="T59" s="49"/>
      <c r="U59" s="49"/>
      <c r="V59" s="78"/>
    </row>
    <row r="60" ht="25" customHeight="1" spans="1:22" x14ac:dyDescent="0.25">
      <c r="A60" s="76">
        <v>45962</v>
      </c>
      <c r="B60" s="46"/>
      <c r="C60" s="77" t="s">
        <v>133</v>
      </c>
      <c r="D60" s="77" t="s">
        <v>134</v>
      </c>
      <c r="E60" s="44" t="s">
        <v>135</v>
      </c>
      <c r="F60" s="45">
        <f>'Stock Data'!K111</f>
        <v>5975.85</v>
      </c>
      <c r="G60" s="45">
        <v>7400</v>
      </c>
      <c r="H60" s="45" t="s">
        <v>136</v>
      </c>
      <c r="I60" s="89" t="s">
        <v>114</v>
      </c>
      <c r="J60" s="68">
        <f t="shared" si="2"/>
        <v>1424.1499999999996</v>
      </c>
      <c r="K60" s="68">
        <v>1112.08</v>
      </c>
      <c r="L60" s="68">
        <f>Table13[[#This Row],[Total Profit]]/2</f>
        <v>712.0749999999998</v>
      </c>
      <c r="M60" s="45"/>
      <c r="N60" s="46">
        <v>45991</v>
      </c>
      <c r="O60" s="78"/>
      <c r="P60" s="78"/>
      <c r="R60" s="48"/>
      <c r="S60" s="49"/>
      <c r="T60" s="49"/>
      <c r="U60" s="49"/>
      <c r="V60" s="78"/>
    </row>
    <row r="61" ht="25" customHeight="1" spans="1:22" x14ac:dyDescent="0.25">
      <c r="A61" s="76">
        <v>45962</v>
      </c>
      <c r="B61" s="46"/>
      <c r="C61" s="77" t="s">
        <v>137</v>
      </c>
      <c r="D61" s="77" t="s">
        <v>138</v>
      </c>
      <c r="E61" s="44" t="s">
        <v>107</v>
      </c>
      <c r="F61" s="45"/>
      <c r="G61" s="45">
        <v>500</v>
      </c>
      <c r="H61" s="45">
        <v>200</v>
      </c>
      <c r="I61" s="89" t="s">
        <v>107</v>
      </c>
      <c r="J61" s="68">
        <f>Table13[[#This Row],[Sold]]-Table13[[#This Row],[Part Ex]]</f>
        <v>300</v>
      </c>
      <c r="K61" s="68"/>
      <c r="L61" s="68">
        <v>300</v>
      </c>
      <c r="M61" s="45"/>
      <c r="N61" s="46">
        <v>45991</v>
      </c>
      <c r="O61" s="78"/>
      <c r="P61" s="78"/>
      <c r="R61" s="48"/>
      <c r="S61" s="49"/>
      <c r="T61" s="49"/>
      <c r="U61" s="49"/>
      <c r="V61" s="78"/>
    </row>
    <row r="62" ht="25" customHeight="1" spans="1:22" x14ac:dyDescent="0.25">
      <c r="A62" s="76">
        <v>45962</v>
      </c>
      <c r="B62" s="46"/>
      <c r="C62" s="77"/>
      <c r="D62" s="77"/>
      <c r="E62" s="44"/>
      <c r="F62" s="45"/>
      <c r="G62" s="45"/>
      <c r="H62" s="45"/>
      <c r="I62" s="89"/>
      <c r="J62" s="68"/>
      <c r="K62" s="68"/>
      <c r="L62" s="68"/>
      <c r="M62" s="45"/>
      <c r="N62" s="46"/>
      <c r="O62" s="78"/>
      <c r="P62" s="78"/>
      <c r="R62" s="48"/>
      <c r="S62" s="49"/>
      <c r="T62" s="49"/>
      <c r="U62" s="49"/>
      <c r="V62" s="78"/>
    </row>
    <row r="63" ht="25" customHeight="1" spans="1:22" x14ac:dyDescent="0.25">
      <c r="A63" s="76">
        <v>45962</v>
      </c>
      <c r="B63" s="46"/>
      <c r="C63" s="77"/>
      <c r="D63" s="77"/>
      <c r="E63" s="44"/>
      <c r="F63" s="45"/>
      <c r="G63" s="45"/>
      <c r="H63" s="45"/>
      <c r="I63" s="51" t="s">
        <v>32</v>
      </c>
      <c r="J63" s="52">
        <f>SUM(J47:J60)</f>
        <v>19102.64</v>
      </c>
      <c r="K63" s="52">
        <f>SUM(K47:K60)</f>
        <v>8539.463</v>
      </c>
      <c r="L63" s="52">
        <f>SUM(L47:L60)</f>
        <v>11342.482</v>
      </c>
      <c r="M63" s="45"/>
      <c r="N63" s="46"/>
      <c r="O63" s="78"/>
      <c r="P63" s="78"/>
      <c r="R63" s="48"/>
      <c r="S63" s="49"/>
      <c r="T63" s="49"/>
      <c r="U63" s="49"/>
      <c r="V63" s="78"/>
    </row>
    <row r="64" ht="25" customHeight="1" spans="1:22" x14ac:dyDescent="0.25">
      <c r="A64" s="80">
        <v>45962</v>
      </c>
      <c r="B64" s="91"/>
      <c r="C64" s="91"/>
      <c r="D64" s="91"/>
      <c r="E64" s="92"/>
      <c r="F64" s="91"/>
      <c r="G64" s="91"/>
      <c r="H64" s="91"/>
      <c r="I64" s="91"/>
      <c r="J64" s="91"/>
      <c r="K64" s="91"/>
      <c r="L64" s="91"/>
      <c r="M64" s="83"/>
      <c r="N64" s="91"/>
      <c r="O64" s="91"/>
      <c r="P64" s="91"/>
      <c r="R64" s="48"/>
      <c r="S64" s="49"/>
      <c r="T64" s="49"/>
      <c r="U64" s="49"/>
      <c r="V64" s="78"/>
    </row>
    <row r="65" ht="25" customHeight="1" spans="1:22" x14ac:dyDescent="0.25">
      <c r="A65" s="76">
        <v>45992</v>
      </c>
      <c r="B65" s="48"/>
      <c r="C65" s="69" t="s">
        <v>139</v>
      </c>
      <c r="D65" s="69" t="s">
        <v>70</v>
      </c>
      <c r="E65" s="86" t="s">
        <v>113</v>
      </c>
      <c r="F65" s="45">
        <f>'Stock Data'!K120</f>
        <v>3556.6099999999997</v>
      </c>
      <c r="G65" s="93">
        <v>3815</v>
      </c>
      <c r="H65" s="45"/>
      <c r="I65" s="89" t="s">
        <v>111</v>
      </c>
      <c r="J65" s="68">
        <f>G65-F65</f>
        <v>258.3900000000003</v>
      </c>
      <c r="K65" s="45">
        <f>Table13[[#This Row],[Total Profit]]*0.4</f>
        <v>103.35600000000014</v>
      </c>
      <c r="L65" s="45">
        <f>Table13[[#This Row],[Total Profit]]*0.6</f>
        <v>155.0340000000002</v>
      </c>
      <c r="M65" s="45"/>
      <c r="N65" s="69"/>
      <c r="O65" s="69" t="s">
        <v>140</v>
      </c>
      <c r="P65" s="69"/>
      <c r="R65" s="48"/>
      <c r="S65" s="49"/>
      <c r="T65" s="49"/>
      <c r="U65" s="49"/>
      <c r="V65" s="78"/>
    </row>
    <row r="66" ht="25" customHeight="1" spans="1:22" x14ac:dyDescent="0.25">
      <c r="A66" s="76">
        <v>45992</v>
      </c>
      <c r="B66" s="48"/>
      <c r="C66" s="69" t="s">
        <v>141</v>
      </c>
      <c r="D66" s="69" t="s">
        <v>142</v>
      </c>
      <c r="E66" s="86" t="s">
        <v>113</v>
      </c>
      <c r="F66" s="45">
        <f>'Stock Data'!K129</f>
        <v>5248.403333333334</v>
      </c>
      <c r="G66" s="45">
        <v>7495</v>
      </c>
      <c r="H66" s="45"/>
      <c r="I66" s="89" t="s">
        <v>114</v>
      </c>
      <c r="J66" s="68">
        <f>G66-F66</f>
        <v>2246.5966666666664</v>
      </c>
      <c r="K66" s="45">
        <f>Table13[[#This Row],[Total Profit]]/2</f>
        <v>1123.2983333333332</v>
      </c>
      <c r="L66" s="45">
        <f>Table13[[#This Row],[Total Profit]]/2</f>
        <v>1123.2983333333332</v>
      </c>
      <c r="M66" s="45"/>
      <c r="N66" s="69"/>
      <c r="O66" s="69" t="s">
        <v>143</v>
      </c>
      <c r="P66" s="69"/>
      <c r="R66" s="48"/>
      <c r="S66" s="49"/>
      <c r="T66" s="49"/>
      <c r="U66" s="49"/>
      <c r="V66" s="78"/>
    </row>
    <row r="67" ht="25" customHeight="1" spans="1:22" x14ac:dyDescent="0.25">
      <c r="A67" s="76">
        <v>45992</v>
      </c>
      <c r="B67" s="48"/>
      <c r="C67" s="69" t="s">
        <v>144</v>
      </c>
      <c r="D67" s="69" t="s">
        <v>122</v>
      </c>
      <c r="E67" s="86" t="s">
        <v>106</v>
      </c>
      <c r="F67" s="45">
        <f>'Stock Data'!K122</f>
        <v>4818.143333333333</v>
      </c>
      <c r="G67" s="45">
        <v>5995</v>
      </c>
      <c r="H67" s="45"/>
      <c r="I67" s="89" t="s">
        <v>111</v>
      </c>
      <c r="J67" s="68">
        <f>Table13[[#This Row],[Sold]]-Table13[[#This Row],[Total Cost]]</f>
        <v>1176.8566666666666</v>
      </c>
      <c r="K67" s="45">
        <f>Table13[[#This Row],[Total Profit]]*0.4-12</f>
        <v>458.74266666666665</v>
      </c>
      <c r="L67" s="45">
        <f>Table13[[#This Row],[Total Profit]]*0.6</f>
        <v>706.1139999999999</v>
      </c>
      <c r="M67" s="45"/>
      <c r="N67" s="69"/>
      <c r="O67" s="69" t="s">
        <v>143</v>
      </c>
      <c r="P67" s="69"/>
      <c r="R67" s="48"/>
      <c r="S67" s="49"/>
      <c r="T67" s="49"/>
      <c r="U67" s="49"/>
      <c r="V67" s="78"/>
    </row>
    <row r="68" ht="24" customHeight="1" spans="1:22" x14ac:dyDescent="0.25">
      <c r="A68" s="76">
        <v>45992</v>
      </c>
      <c r="B68" s="48"/>
      <c r="C68" s="69" t="s">
        <v>145</v>
      </c>
      <c r="D68" s="69" t="s">
        <v>146</v>
      </c>
      <c r="E68" s="86" t="s">
        <v>129</v>
      </c>
      <c r="F68" s="45">
        <f>'Stock Data'!K132</f>
        <v>4399.21</v>
      </c>
      <c r="G68" s="45">
        <v>7250</v>
      </c>
      <c r="H68" s="45"/>
      <c r="I68" s="89" t="s">
        <v>114</v>
      </c>
      <c r="J68" s="68">
        <f t="shared" ref="J68:J76" si="3">G68-F68</f>
        <v>2850.79</v>
      </c>
      <c r="K68" s="45">
        <f>Table13[[#This Row],[Total Profit]]/2</f>
        <v>1425.395</v>
      </c>
      <c r="L68" s="45">
        <f>Table13[[#This Row],[Total Profit]]/2</f>
        <v>1425.395</v>
      </c>
      <c r="M68" s="45"/>
      <c r="N68" s="69"/>
      <c r="O68" s="69" t="s">
        <v>143</v>
      </c>
      <c r="P68" s="69"/>
      <c r="R68" s="48"/>
      <c r="S68" s="49"/>
      <c r="T68" s="49"/>
      <c r="U68" s="49"/>
      <c r="V68" s="78"/>
    </row>
    <row r="69" ht="24" customHeight="1" spans="1:22" x14ac:dyDescent="0.25">
      <c r="A69" s="76">
        <v>45992</v>
      </c>
      <c r="B69" s="48"/>
      <c r="C69" s="69" t="s">
        <v>147</v>
      </c>
      <c r="D69" s="69" t="s">
        <v>148</v>
      </c>
      <c r="E69" s="86" t="s">
        <v>107</v>
      </c>
      <c r="F69" s="45">
        <f>'Stock Data'!J123</f>
        <v>8</v>
      </c>
      <c r="G69" s="45">
        <v>1995</v>
      </c>
      <c r="H69" s="45"/>
      <c r="I69" s="89" t="s">
        <v>107</v>
      </c>
      <c r="J69" s="68">
        <f t="shared" si="3"/>
        <v>1987</v>
      </c>
      <c r="K69" s="45"/>
      <c r="L69" s="45">
        <f>Table13[[#This Row],[Total Profit]]-400.01</f>
        <v>1586.99</v>
      </c>
      <c r="M69" s="45"/>
      <c r="N69" s="69"/>
      <c r="O69" s="69" t="s">
        <v>143</v>
      </c>
      <c r="P69" s="69"/>
      <c r="R69" s="48"/>
      <c r="S69" s="49"/>
      <c r="T69" s="49"/>
      <c r="U69" s="49"/>
      <c r="V69" s="78"/>
    </row>
    <row r="70" ht="24" customHeight="1" spans="1:16" x14ac:dyDescent="0.25">
      <c r="A70" s="76">
        <v>45992</v>
      </c>
      <c r="B70" s="48"/>
      <c r="C70" s="69" t="s">
        <v>149</v>
      </c>
      <c r="D70" s="69" t="s">
        <v>150</v>
      </c>
      <c r="E70" s="86" t="s">
        <v>107</v>
      </c>
      <c r="F70" s="45">
        <f>'Stock Data'!K144</f>
        <v>3730.74</v>
      </c>
      <c r="G70" s="45">
        <v>5400</v>
      </c>
      <c r="H70" s="45"/>
      <c r="I70" s="89" t="s">
        <v>107</v>
      </c>
      <c r="J70" s="68">
        <f t="shared" si="3"/>
        <v>1669.2600000000002</v>
      </c>
      <c r="K70" s="45"/>
      <c r="L70" s="45">
        <f>Table13[[#This Row],[Total Profit]]</f>
        <v>1669.2600000000002</v>
      </c>
      <c r="M70" s="45"/>
      <c r="N70" s="69"/>
      <c r="O70" s="69" t="s">
        <v>151</v>
      </c>
      <c r="P70" s="69"/>
    </row>
    <row r="71" ht="24" customHeight="1" spans="1:16" x14ac:dyDescent="0.25">
      <c r="A71" s="76">
        <v>45992</v>
      </c>
      <c r="B71" s="48"/>
      <c r="C71" s="62" t="s">
        <v>152</v>
      </c>
      <c r="D71" s="69" t="s">
        <v>153</v>
      </c>
      <c r="E71" s="86" t="s">
        <v>107</v>
      </c>
      <c r="F71" s="45">
        <f>'Stock Data'!K113</f>
        <v>2571.2166666666667</v>
      </c>
      <c r="G71" s="45">
        <f>'Stock Data'!L113</f>
        <v>3500</v>
      </c>
      <c r="H71" s="45"/>
      <c r="I71" s="89" t="s">
        <v>107</v>
      </c>
      <c r="J71" s="68">
        <f t="shared" si="3"/>
        <v>928.7833333333333</v>
      </c>
      <c r="K71" s="45"/>
      <c r="L71" s="45">
        <f>Table13[[#This Row],[Sold]]-Table13[[#This Row],[Total Cost]]</f>
        <v>928.7833333333333</v>
      </c>
      <c r="M71" s="45"/>
      <c r="N71" s="69" t="s">
        <v>154</v>
      </c>
      <c r="O71" s="69" t="s">
        <v>140</v>
      </c>
      <c r="P71" s="69"/>
    </row>
    <row r="72" ht="24" customHeight="1" spans="1:16" x14ac:dyDescent="0.25">
      <c r="A72" s="76">
        <v>45992</v>
      </c>
      <c r="B72" s="48"/>
      <c r="C72" s="69" t="s">
        <v>155</v>
      </c>
      <c r="D72" s="69" t="s">
        <v>156</v>
      </c>
      <c r="E72" s="86" t="s">
        <v>129</v>
      </c>
      <c r="F72" s="45">
        <f>'Stock Data'!K141</f>
        <v>4528.8</v>
      </c>
      <c r="G72" s="45">
        <f>'Stock Data'!L141</f>
        <v>6595</v>
      </c>
      <c r="H72" s="45"/>
      <c r="I72" s="89" t="s">
        <v>114</v>
      </c>
      <c r="J72" s="68">
        <f t="shared" si="3"/>
        <v>2066.2</v>
      </c>
      <c r="K72" s="45">
        <f>Table13[[#This Row],[Total Profit]]/2</f>
        <v>1033.1</v>
      </c>
      <c r="L72" s="45">
        <f>Table13[[#This Row],[Total Profit]]/2</f>
        <v>1033.1</v>
      </c>
      <c r="M72" s="45"/>
      <c r="N72" s="69"/>
      <c r="O72" s="69"/>
      <c r="P72" s="69"/>
    </row>
    <row r="73" ht="24" customHeight="1" spans="1:16" x14ac:dyDescent="0.25">
      <c r="A73" s="76">
        <v>45992</v>
      </c>
      <c r="B73" s="48"/>
      <c r="C73" s="69" t="s">
        <v>157</v>
      </c>
      <c r="D73" s="69" t="s">
        <v>158</v>
      </c>
      <c r="E73" s="86" t="s">
        <v>113</v>
      </c>
      <c r="F73" s="45">
        <f>'Stock Data'!K125</f>
        <v>4895.8</v>
      </c>
      <c r="G73" s="45">
        <f>'Stock Data'!L125</f>
        <v>7295</v>
      </c>
      <c r="H73" s="45"/>
      <c r="I73" s="89" t="s">
        <v>114</v>
      </c>
      <c r="J73" s="68">
        <f t="shared" si="3"/>
        <v>2399.2</v>
      </c>
      <c r="K73" s="45">
        <f>Table13[[#This Row],[Total Profit]]/2</f>
        <v>1199.6</v>
      </c>
      <c r="L73" s="45">
        <f>Table13[[#This Row],[Total Profit]]/2+80</f>
        <v>1279.6</v>
      </c>
      <c r="M73" s="45"/>
      <c r="N73" s="69"/>
      <c r="O73" s="69"/>
      <c r="P73" s="69"/>
    </row>
    <row r="74" ht="24" customHeight="1" spans="1:16" x14ac:dyDescent="0.25">
      <c r="A74" s="76">
        <v>45992</v>
      </c>
      <c r="B74" s="48"/>
      <c r="C74" s="69" t="s">
        <v>159</v>
      </c>
      <c r="D74" s="69" t="s">
        <v>49</v>
      </c>
      <c r="E74" s="86" t="s">
        <v>125</v>
      </c>
      <c r="F74" s="45">
        <f>'Stock Data'!K139</f>
        <v>6647.9</v>
      </c>
      <c r="G74" s="45">
        <f>'Stock Data'!L139</f>
        <v>9050</v>
      </c>
      <c r="H74" s="45"/>
      <c r="I74" s="89" t="s">
        <v>114</v>
      </c>
      <c r="J74" s="68">
        <f t="shared" si="3"/>
        <v>2402.1000000000004</v>
      </c>
      <c r="K74" s="45">
        <f>Table13[[#This Row],[Total Profit]]/2</f>
        <v>1201.0500000000002</v>
      </c>
      <c r="L74" s="45">
        <f>Table13[[#This Row],[Total Profit]]/2</f>
        <v>1201.0500000000002</v>
      </c>
      <c r="M74" s="45"/>
      <c r="N74" s="69" t="s">
        <v>160</v>
      </c>
      <c r="O74" s="69" t="s">
        <v>143</v>
      </c>
      <c r="P74" s="69"/>
    </row>
    <row r="75" ht="24" customHeight="1" spans="1:16" x14ac:dyDescent="0.25">
      <c r="A75" s="76">
        <v>45992</v>
      </c>
      <c r="B75" s="48"/>
      <c r="C75" s="69" t="s">
        <v>161</v>
      </c>
      <c r="D75" s="69" t="s">
        <v>162</v>
      </c>
      <c r="E75" s="86" t="s">
        <v>107</v>
      </c>
      <c r="F75" s="45">
        <f>'Stock Data'!K119</f>
        <v>6737.99</v>
      </c>
      <c r="G75" s="45">
        <f>'Stock Data'!L119</f>
        <v>9994</v>
      </c>
      <c r="H75" s="45"/>
      <c r="I75" s="89" t="s">
        <v>107</v>
      </c>
      <c r="J75" s="68">
        <f t="shared" si="3"/>
        <v>3256.01</v>
      </c>
      <c r="K75" s="45"/>
      <c r="L75" s="45">
        <f>Table13[[#This Row],[Total Profit]]</f>
        <v>3256.01</v>
      </c>
      <c r="M75" s="45"/>
      <c r="N75" s="69" t="s">
        <v>163</v>
      </c>
      <c r="O75" s="69" t="s">
        <v>143</v>
      </c>
      <c r="P75" s="69"/>
    </row>
    <row r="76" ht="24" customHeight="1" spans="1:16" x14ac:dyDescent="0.25">
      <c r="A76" s="76">
        <v>45992</v>
      </c>
      <c r="B76" s="48"/>
      <c r="C76" s="44" t="s">
        <v>164</v>
      </c>
      <c r="D76" s="77" t="s">
        <v>86</v>
      </c>
      <c r="E76" s="86" t="s">
        <v>107</v>
      </c>
      <c r="F76" s="45">
        <f>'Stock Data'!J124</f>
        <v>783.6099999999999</v>
      </c>
      <c r="G76" s="45">
        <v>2950</v>
      </c>
      <c r="H76" s="45"/>
      <c r="I76" s="89" t="s">
        <v>107</v>
      </c>
      <c r="J76" s="68">
        <f t="shared" si="3"/>
        <v>2166.3900000000003</v>
      </c>
      <c r="K76" s="45"/>
      <c r="L76" s="45">
        <f>Table13[[#This Row],[Total Profit]]</f>
        <v>2166.3900000000003</v>
      </c>
      <c r="M76" s="45"/>
      <c r="N76" s="69"/>
      <c r="O76" s="69"/>
      <c r="P76" s="69"/>
    </row>
    <row r="77" ht="24" customHeight="1" spans="1:16" x14ac:dyDescent="0.25">
      <c r="A77" s="76">
        <v>45992</v>
      </c>
      <c r="B77" s="48"/>
      <c r="C77" s="69"/>
      <c r="D77" s="69"/>
      <c r="E77" s="86"/>
      <c r="F77" s="45"/>
      <c r="G77" s="45"/>
      <c r="H77" s="45"/>
      <c r="I77" s="89"/>
      <c r="J77" s="45"/>
      <c r="K77" s="45"/>
      <c r="L77" s="45"/>
      <c r="M77" s="45"/>
      <c r="N77" s="69"/>
      <c r="O77" s="69"/>
      <c r="P77" s="69"/>
    </row>
    <row r="78" ht="24" customHeight="1" spans="1:16" x14ac:dyDescent="0.25">
      <c r="A78" s="76">
        <v>45992</v>
      </c>
      <c r="B78" s="48"/>
      <c r="C78" s="48"/>
      <c r="D78" s="48"/>
      <c r="E78" s="94"/>
      <c r="F78" s="85"/>
      <c r="G78" s="85"/>
      <c r="H78" s="85"/>
      <c r="I78" s="51" t="s">
        <v>32</v>
      </c>
      <c r="J78" s="52">
        <f>SUM(J65:J76)</f>
        <v>23407.576666666668</v>
      </c>
      <c r="K78" s="52">
        <f>SUM(K65:K76)</f>
        <v>6544.542</v>
      </c>
      <c r="L78" s="52">
        <f>SUM(L65:L76)</f>
        <v>16531.024666666668</v>
      </c>
      <c r="M78" s="85"/>
      <c r="N78" s="48"/>
      <c r="O78" s="48"/>
      <c r="P78" s="48"/>
    </row>
    <row r="79" ht="25" customHeight="1" spans="1:16" x14ac:dyDescent="0.25">
      <c r="A79" s="80">
        <v>45992</v>
      </c>
      <c r="B79" s="91"/>
      <c r="C79" s="91"/>
      <c r="D79" s="91"/>
      <c r="E79" s="92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</row>
    <row r="80" ht="25" customHeight="1" spans="1:16" x14ac:dyDescent="0.25">
      <c r="A80" s="76">
        <v>46023</v>
      </c>
      <c r="B80" s="48"/>
      <c r="C80" s="69" t="s">
        <v>165</v>
      </c>
      <c r="D80" s="69" t="s">
        <v>166</v>
      </c>
      <c r="E80" s="86" t="s">
        <v>125</v>
      </c>
      <c r="F80" s="95">
        <f>'Stock Data'!K156</f>
        <v>5602.543333333333</v>
      </c>
      <c r="G80" s="95">
        <v>7793.28</v>
      </c>
      <c r="H80" s="95"/>
      <c r="I80" s="89" t="s">
        <v>114</v>
      </c>
      <c r="J80" s="96">
        <f>Table13[[#This Row],[Sold]]-Table13[[#This Row],[Total Cost]]</f>
        <v>2190.7366666666667</v>
      </c>
      <c r="K80" s="95">
        <f>Table13[[#This Row],[Total Profit]]/2-100</f>
        <v>995.3683333333333</v>
      </c>
      <c r="L80" s="95">
        <f>Table13[[#This Row],[Total Profit]]/2+100</f>
        <v>1195.3683333333333</v>
      </c>
      <c r="M80" s="95"/>
      <c r="N80" s="97"/>
      <c r="O80" s="48"/>
      <c r="P80" s="48"/>
    </row>
    <row r="81" ht="25" customHeight="1" spans="1:16" x14ac:dyDescent="0.25">
      <c r="A81" s="76">
        <v>46023</v>
      </c>
      <c r="B81" s="48"/>
      <c r="C81" s="44" t="s">
        <v>167</v>
      </c>
      <c r="D81" s="77" t="s">
        <v>168</v>
      </c>
      <c r="E81" s="44" t="s">
        <v>129</v>
      </c>
      <c r="F81" s="95">
        <f>'Stock Data'!K160</f>
        <v>6270.68</v>
      </c>
      <c r="G81" s="95">
        <v>8400</v>
      </c>
      <c r="H81" s="95"/>
      <c r="I81" s="89" t="s">
        <v>114</v>
      </c>
      <c r="J81" s="96">
        <f t="shared" ref="J81:J89" si="4">G81-F81</f>
        <v>2129.3199999999997</v>
      </c>
      <c r="K81" s="95">
        <f>Table13[[#This Row],[Total Profit]]/2-100</f>
        <v>964.6599999999999</v>
      </c>
      <c r="L81" s="95">
        <f>Table13[[#This Row],[Total Profit]]/2+'BMW GT SV63 KKO'!H6+100</f>
        <v>1664.2999999999997</v>
      </c>
      <c r="M81" s="95"/>
      <c r="N81" s="43">
        <v>46036</v>
      </c>
      <c r="O81" s="48"/>
      <c r="P81" s="48"/>
    </row>
    <row r="82" ht="25" customHeight="1" spans="1:16" x14ac:dyDescent="0.25">
      <c r="A82" s="76">
        <v>46023</v>
      </c>
      <c r="B82" s="48"/>
      <c r="C82" s="69" t="s">
        <v>169</v>
      </c>
      <c r="D82" s="69" t="s">
        <v>170</v>
      </c>
      <c r="E82" s="86" t="s">
        <v>113</v>
      </c>
      <c r="F82" s="95">
        <f>'Stock Data'!K155</f>
        <v>5494.46</v>
      </c>
      <c r="G82" s="95">
        <v>8995</v>
      </c>
      <c r="H82" s="95"/>
      <c r="I82" s="89" t="s">
        <v>114</v>
      </c>
      <c r="J82" s="96">
        <f t="shared" si="4"/>
        <v>3500.54</v>
      </c>
      <c r="K82" s="95">
        <f>Table13[[#This Row],[Total Profit]]/2-100</f>
        <v>1650.27</v>
      </c>
      <c r="L82" s="95">
        <f>Table13[[#This Row],[Total Profit]]/2+100</f>
        <v>1850.27</v>
      </c>
      <c r="M82" s="95"/>
      <c r="N82" s="43">
        <v>46038</v>
      </c>
      <c r="O82" s="48"/>
      <c r="P82" s="48"/>
    </row>
    <row r="83" ht="25" customHeight="1" spans="1:16" x14ac:dyDescent="0.25">
      <c r="A83" s="76">
        <v>46023</v>
      </c>
      <c r="B83" s="48"/>
      <c r="C83" s="69" t="s">
        <v>171</v>
      </c>
      <c r="D83" s="69" t="s">
        <v>122</v>
      </c>
      <c r="E83" s="86" t="s">
        <v>107</v>
      </c>
      <c r="F83" s="95">
        <f>'Stock Data'!K157</f>
        <v>2639.28</v>
      </c>
      <c r="G83" s="95">
        <v>3595</v>
      </c>
      <c r="H83" s="95"/>
      <c r="I83" s="98" t="s">
        <v>107</v>
      </c>
      <c r="J83" s="96">
        <f t="shared" si="4"/>
        <v>955.7199999999998</v>
      </c>
      <c r="K83" s="95"/>
      <c r="L83" s="95">
        <f>Table13[[#This Row],[Total Profit]]</f>
        <v>955.7199999999998</v>
      </c>
      <c r="M83" s="95"/>
      <c r="N83" s="43">
        <v>46038</v>
      </c>
      <c r="O83" s="48"/>
      <c r="P83" s="48"/>
    </row>
    <row r="84" ht="25" customHeight="1" spans="1:16" x14ac:dyDescent="0.25">
      <c r="A84" s="76">
        <v>46023</v>
      </c>
      <c r="B84" s="48"/>
      <c r="C84" s="69" t="s">
        <v>172</v>
      </c>
      <c r="D84" s="69" t="s">
        <v>173</v>
      </c>
      <c r="E84" s="86" t="s">
        <v>107</v>
      </c>
      <c r="F84" s="95">
        <f>'Stock Data'!K166</f>
        <v>6541.12</v>
      </c>
      <c r="G84" s="95">
        <v>8495</v>
      </c>
      <c r="H84" s="95"/>
      <c r="I84" s="98" t="s">
        <v>107</v>
      </c>
      <c r="J84" s="96">
        <f t="shared" si="4"/>
        <v>1953.88</v>
      </c>
      <c r="K84" s="95"/>
      <c r="L84" s="95">
        <f>Table13[[#This Row],[Total Profit]]</f>
        <v>1953.88</v>
      </c>
      <c r="M84" s="95"/>
      <c r="N84" s="43">
        <v>46039</v>
      </c>
      <c r="O84" s="48"/>
      <c r="P84" s="48"/>
    </row>
    <row r="85" ht="25" customHeight="1" spans="1:16" x14ac:dyDescent="0.25">
      <c r="A85" s="99">
        <v>46023</v>
      </c>
      <c r="B85" s="69"/>
      <c r="C85" s="69" t="s">
        <v>174</v>
      </c>
      <c r="D85" s="69" t="s">
        <v>175</v>
      </c>
      <c r="E85" s="86" t="s">
        <v>107</v>
      </c>
      <c r="F85" s="95">
        <f>'Stock Data'!K170</f>
        <v>5253.02</v>
      </c>
      <c r="G85" s="95">
        <f>'Stock Data'!L170</f>
        <v>8995</v>
      </c>
      <c r="H85" s="95"/>
      <c r="I85" s="98" t="s">
        <v>107</v>
      </c>
      <c r="J85" s="96">
        <f t="shared" si="4"/>
        <v>3741.9799999999996</v>
      </c>
      <c r="K85" s="95"/>
      <c r="L85" s="95">
        <f>Table13[[#This Row],[Total Profit]]</f>
        <v>3741.9799999999996</v>
      </c>
      <c r="M85" s="95"/>
      <c r="N85" s="43">
        <v>46045</v>
      </c>
      <c r="O85" s="69"/>
      <c r="P85" s="69"/>
    </row>
    <row r="86" ht="25" customHeight="1" spans="1:16" x14ac:dyDescent="0.25">
      <c r="A86" s="76">
        <v>46023</v>
      </c>
      <c r="B86" s="43">
        <v>45975</v>
      </c>
      <c r="C86" s="44" t="s">
        <v>176</v>
      </c>
      <c r="D86" s="77" t="s">
        <v>131</v>
      </c>
      <c r="E86" s="44" t="s">
        <v>129</v>
      </c>
      <c r="F86" s="95">
        <f>'Stock Data'!K152</f>
        <v>4390.79</v>
      </c>
      <c r="G86" s="95">
        <v>7250</v>
      </c>
      <c r="H86" s="95"/>
      <c r="I86" s="89" t="s">
        <v>114</v>
      </c>
      <c r="J86" s="96">
        <f t="shared" si="4"/>
        <v>2859.21</v>
      </c>
      <c r="K86" s="95">
        <f>Table13[[#This Row],[Total Profit]]/2-100</f>
        <v>1329.605</v>
      </c>
      <c r="L86" s="95">
        <f>Table13[[#This Row],[Total Profit]]/2+ 60.88+100</f>
        <v>1590.4850000000001</v>
      </c>
      <c r="M86" s="95"/>
      <c r="N86" s="43">
        <v>46047</v>
      </c>
      <c r="O86" s="48"/>
      <c r="P86" s="48"/>
    </row>
    <row r="87" ht="25" customHeight="1" spans="1:16" x14ac:dyDescent="0.25">
      <c r="A87" s="76">
        <v>46023</v>
      </c>
      <c r="B87" s="43">
        <v>45965</v>
      </c>
      <c r="C87" s="77" t="s">
        <v>177</v>
      </c>
      <c r="D87" s="77" t="s">
        <v>178</v>
      </c>
      <c r="E87" s="44" t="s">
        <v>107</v>
      </c>
      <c r="F87" s="95">
        <f>'Stock Data'!K150</f>
        <v>8361.51</v>
      </c>
      <c r="G87" s="95">
        <v>8295</v>
      </c>
      <c r="H87" s="95">
        <v>1500</v>
      </c>
      <c r="I87" s="89" t="s">
        <v>107</v>
      </c>
      <c r="J87" s="100">
        <f t="shared" si="4"/>
        <v>-66.51000000000022</v>
      </c>
      <c r="K87" s="95"/>
      <c r="L87" s="100">
        <f>Table13[[#This Row],[Total Profit]]</f>
        <v>-66.51000000000022</v>
      </c>
      <c r="M87" s="95"/>
      <c r="N87" s="43">
        <v>46050</v>
      </c>
      <c r="O87" s="48"/>
      <c r="P87" s="48"/>
    </row>
    <row r="88" ht="25" customHeight="1" spans="1:16" x14ac:dyDescent="0.25">
      <c r="A88" s="76">
        <v>46023</v>
      </c>
      <c r="B88" s="43">
        <v>46050</v>
      </c>
      <c r="C88" s="44" t="s">
        <v>179</v>
      </c>
      <c r="D88" s="77" t="s">
        <v>180</v>
      </c>
      <c r="E88" s="86" t="s">
        <v>107</v>
      </c>
      <c r="F88" s="95">
        <f>'Stock Data'!K173</f>
        <v>1328.74</v>
      </c>
      <c r="G88" s="95">
        <v>2000</v>
      </c>
      <c r="H88" s="95"/>
      <c r="I88" s="89" t="s">
        <v>107</v>
      </c>
      <c r="J88" s="96">
        <f t="shared" si="4"/>
        <v>671.26</v>
      </c>
      <c r="K88" s="95"/>
      <c r="L88" s="95">
        <f>Table13[[#This Row],[Total Profit]]</f>
        <v>671.26</v>
      </c>
      <c r="M88" s="95"/>
      <c r="N88" s="43">
        <v>46053</v>
      </c>
      <c r="O88" s="48"/>
      <c r="P88" s="48"/>
    </row>
    <row r="89" ht="25" customHeight="1" spans="1:16" x14ac:dyDescent="0.25">
      <c r="A89" s="76">
        <v>46023</v>
      </c>
      <c r="B89" s="43">
        <v>45983</v>
      </c>
      <c r="C89" s="69" t="s">
        <v>181</v>
      </c>
      <c r="D89" s="69" t="s">
        <v>182</v>
      </c>
      <c r="E89" s="86" t="s">
        <v>125</v>
      </c>
      <c r="F89" s="95">
        <f>'Stock Data'!K149</f>
        <v>4783.32</v>
      </c>
      <c r="G89" s="95">
        <v>6995</v>
      </c>
      <c r="H89" s="95"/>
      <c r="I89" s="89" t="s">
        <v>114</v>
      </c>
      <c r="J89" s="96">
        <f t="shared" si="4"/>
        <v>2211.6800000000003</v>
      </c>
      <c r="K89" s="95">
        <f>Table13[[#This Row],[Total Profit]]/2-100</f>
        <v>1005.8400000000001</v>
      </c>
      <c r="L89" s="95">
        <f>Table13[[#This Row],[Total Profit]]/2+100</f>
        <v>1205.8400000000001</v>
      </c>
      <c r="M89" s="95"/>
      <c r="N89" s="101"/>
      <c r="O89" s="48"/>
      <c r="P89" s="48"/>
    </row>
    <row r="90" ht="25" customHeight="1" spans="1:16" x14ac:dyDescent="0.25">
      <c r="A90" s="76">
        <v>46023</v>
      </c>
      <c r="B90" s="69"/>
      <c r="C90" s="69"/>
      <c r="D90" s="69"/>
      <c r="E90" s="86"/>
      <c r="F90" s="95"/>
      <c r="G90" s="95"/>
      <c r="H90" s="95"/>
      <c r="I90" s="89"/>
      <c r="J90" s="96"/>
      <c r="K90" s="95"/>
      <c r="L90" s="95"/>
      <c r="M90" s="45"/>
      <c r="N90" s="101"/>
      <c r="O90" s="48"/>
      <c r="P90" s="48"/>
    </row>
    <row r="91" ht="25" customHeight="1" spans="1:16" x14ac:dyDescent="0.25">
      <c r="A91" s="76">
        <v>46023</v>
      </c>
      <c r="B91" s="48"/>
      <c r="C91" s="48"/>
      <c r="D91" s="48"/>
      <c r="E91" s="102"/>
      <c r="F91" s="95"/>
      <c r="G91" s="95"/>
      <c r="H91" s="95"/>
      <c r="I91" s="51" t="s">
        <v>32</v>
      </c>
      <c r="J91" s="52">
        <f>SUM(J80:J89)</f>
        <v>20147.816666666662</v>
      </c>
      <c r="K91" s="52">
        <f>SUM(K80:K89)</f>
        <v>5945.743333333334</v>
      </c>
      <c r="L91" s="52">
        <f>SUM(L80:L89)</f>
        <v>14762.593333333334</v>
      </c>
      <c r="M91" s="95"/>
      <c r="N91" s="101"/>
      <c r="O91" s="48"/>
      <c r="P91" s="48"/>
    </row>
    <row r="92" ht="25" customHeight="1" spans="1:16" x14ac:dyDescent="0.25">
      <c r="A92" s="80">
        <v>46023</v>
      </c>
      <c r="B92" s="91"/>
      <c r="C92" s="91"/>
      <c r="D92" s="91"/>
      <c r="E92" s="103"/>
      <c r="F92" s="104"/>
      <c r="G92" s="104"/>
      <c r="H92" s="104"/>
      <c r="I92" s="104"/>
      <c r="J92" s="104"/>
      <c r="K92" s="104"/>
      <c r="L92" s="104"/>
      <c r="M92" s="104"/>
      <c r="N92" s="105"/>
      <c r="O92" s="91"/>
      <c r="P92" s="91"/>
    </row>
    <row r="93" ht="25" customHeight="1" spans="1:16" x14ac:dyDescent="0.25">
      <c r="A93" s="76">
        <v>46054</v>
      </c>
      <c r="B93" s="43">
        <v>46031</v>
      </c>
      <c r="C93" s="69" t="s">
        <v>183</v>
      </c>
      <c r="D93" s="69" t="s">
        <v>184</v>
      </c>
      <c r="E93" s="86" t="s">
        <v>107</v>
      </c>
      <c r="F93" s="95">
        <f>'Stock Data'!K186</f>
        <v>8246.15</v>
      </c>
      <c r="G93" s="95">
        <v>6500</v>
      </c>
      <c r="H93" s="95">
        <v>4000</v>
      </c>
      <c r="I93" s="89" t="s">
        <v>107</v>
      </c>
      <c r="J93" s="106">
        <f t="shared" ref="J93:J102" si="5">G93-F93</f>
        <v>-1746.1499999999996</v>
      </c>
      <c r="K93" s="95"/>
      <c r="L93" s="100">
        <f>Table13[[#This Row],[Total Profit]]</f>
        <v>-1746.1499999999996</v>
      </c>
      <c r="M93" s="95"/>
      <c r="N93" s="43">
        <v>46054</v>
      </c>
      <c r="O93" s="48"/>
      <c r="P93" s="48"/>
    </row>
    <row r="94" ht="25" customHeight="1" spans="1:16" x14ac:dyDescent="0.25">
      <c r="A94" s="76">
        <v>46054</v>
      </c>
      <c r="B94" s="43">
        <v>45989</v>
      </c>
      <c r="C94" s="44" t="s">
        <v>185</v>
      </c>
      <c r="D94" s="77" t="s">
        <v>186</v>
      </c>
      <c r="E94" s="44" t="s">
        <v>113</v>
      </c>
      <c r="F94" s="95">
        <f>'Stock Data'!K176</f>
        <v>5732.32</v>
      </c>
      <c r="G94" s="95">
        <v>7995</v>
      </c>
      <c r="H94" s="95"/>
      <c r="I94" s="89" t="s">
        <v>114</v>
      </c>
      <c r="J94" s="96">
        <f t="shared" si="5"/>
        <v>2262.6800000000003</v>
      </c>
      <c r="K94" s="95">
        <f>Table13[[#This Row],[Total Profit]]/2-100</f>
        <v>1031.3400000000001</v>
      </c>
      <c r="L94" s="96">
        <f>Table13[[#This Row],[Total Profit]]/2+99+120+100</f>
        <v>1450.3400000000001</v>
      </c>
      <c r="M94" s="95"/>
      <c r="N94" s="43">
        <v>46055</v>
      </c>
      <c r="O94" s="48"/>
      <c r="P94" s="48"/>
    </row>
    <row r="95" ht="25" customHeight="1" spans="1:16" x14ac:dyDescent="0.25">
      <c r="A95" s="76">
        <v>46054</v>
      </c>
      <c r="B95" s="43">
        <v>46000</v>
      </c>
      <c r="C95" s="44" t="s">
        <v>187</v>
      </c>
      <c r="D95" s="77" t="s">
        <v>119</v>
      </c>
      <c r="E95" s="44" t="s">
        <v>106</v>
      </c>
      <c r="F95" s="95">
        <f>'Stock Data'!K181</f>
        <v>2850.71</v>
      </c>
      <c r="G95" s="95">
        <v>5375</v>
      </c>
      <c r="H95" s="95"/>
      <c r="I95" s="89" t="s">
        <v>188</v>
      </c>
      <c r="J95" s="96">
        <f t="shared" si="5"/>
        <v>2524.29</v>
      </c>
      <c r="K95" s="95">
        <f>Table13[[#This Row],[Total Profit]]*0.3</f>
        <v>757.2869999999999</v>
      </c>
      <c r="L95" s="95">
        <f>Table13[[#This Row],[Total Profit]]-Table13[[#This Row],[Investor Profit]]</f>
        <v>1767.0030000000002</v>
      </c>
      <c r="M95" s="95"/>
      <c r="N95" s="43">
        <v>46060</v>
      </c>
      <c r="O95" s="69"/>
      <c r="P95" s="69"/>
    </row>
    <row r="96" ht="25" customHeight="1" spans="1:16" x14ac:dyDescent="0.25">
      <c r="A96" s="76">
        <v>46054</v>
      </c>
      <c r="B96" s="43">
        <v>46057</v>
      </c>
      <c r="C96" s="46" t="s">
        <v>189</v>
      </c>
      <c r="D96" s="46" t="s">
        <v>190</v>
      </c>
      <c r="E96" s="43" t="s">
        <v>110</v>
      </c>
      <c r="F96" s="95">
        <f>'Stock Data'!K196</f>
        <v>4187.38</v>
      </c>
      <c r="G96" s="95">
        <f>'Stock Data'!L196</f>
        <v>6394.29</v>
      </c>
      <c r="H96" s="95"/>
      <c r="I96" s="89" t="s">
        <v>188</v>
      </c>
      <c r="J96" s="96">
        <f t="shared" si="5"/>
        <v>2206.91</v>
      </c>
      <c r="K96" s="95">
        <f>Table13[[#This Row],[Total Profit]]*0.3</f>
        <v>662.073</v>
      </c>
      <c r="L96" s="95">
        <f>Table13[[#This Row],[Total Profit]]-Table13[[#This Row],[Investor Profit]]</f>
        <v>1544.837</v>
      </c>
      <c r="M96" s="95"/>
      <c r="N96" s="43">
        <v>46065</v>
      </c>
      <c r="O96" s="69"/>
      <c r="P96" s="69"/>
    </row>
    <row r="97" ht="25" customHeight="1" spans="1:16" x14ac:dyDescent="0.25">
      <c r="A97" s="76">
        <v>46054</v>
      </c>
      <c r="B97" s="43">
        <v>46057</v>
      </c>
      <c r="C97" s="46" t="s">
        <v>191</v>
      </c>
      <c r="D97" s="46" t="s">
        <v>131</v>
      </c>
      <c r="E97" s="43" t="s">
        <v>113</v>
      </c>
      <c r="F97" s="95">
        <f>'Stock Data'!K195+120</f>
        <v>7792.2</v>
      </c>
      <c r="G97" s="95">
        <v>9795</v>
      </c>
      <c r="H97" s="95"/>
      <c r="I97" s="89" t="s">
        <v>192</v>
      </c>
      <c r="J97" s="96">
        <f t="shared" si="5"/>
        <v>2002.8000000000002</v>
      </c>
      <c r="K97" s="95">
        <f>Table13[[#This Row],[Total Profit]]*0.35</f>
        <v>700.98</v>
      </c>
      <c r="L97" s="100">
        <f>(6995-Table13[[#This Row],[Total Cost]])*0.65-Table13[[#This Row],[Investor Profit]]</f>
        <v>-1219.1599999999999</v>
      </c>
      <c r="M97" s="95"/>
      <c r="N97" s="101"/>
      <c r="O97" s="69"/>
      <c r="P97" s="69"/>
    </row>
    <row r="98" ht="25" customHeight="1" spans="1:16" x14ac:dyDescent="0.25">
      <c r="A98" s="76">
        <v>46054</v>
      </c>
      <c r="B98" s="43">
        <v>46060</v>
      </c>
      <c r="C98" s="46" t="s">
        <v>193</v>
      </c>
      <c r="D98" s="46" t="s">
        <v>194</v>
      </c>
      <c r="E98" s="43" t="s">
        <v>125</v>
      </c>
      <c r="F98" s="95">
        <f>'Stock Data'!K200</f>
        <v>5238.035</v>
      </c>
      <c r="G98" s="95">
        <v>6995</v>
      </c>
      <c r="H98" s="95"/>
      <c r="I98" s="89" t="s">
        <v>192</v>
      </c>
      <c r="J98" s="96">
        <f t="shared" si="5"/>
        <v>1756.9650000000001</v>
      </c>
      <c r="K98" s="95">
        <f>Table13[[#This Row],[Total Profit]]*0.35</f>
        <v>614.93775</v>
      </c>
      <c r="L98" s="95">
        <f>Table13[[#This Row],[Total Profit]]-Table13[[#This Row],[Investor Profit]]</f>
        <v>1142.02725</v>
      </c>
      <c r="M98" s="69"/>
      <c r="N98" s="86"/>
      <c r="O98" s="69"/>
      <c r="P98" s="69"/>
    </row>
    <row r="99" ht="25" customHeight="1" spans="1:16" x14ac:dyDescent="0.25">
      <c r="A99" s="76">
        <v>46054</v>
      </c>
      <c r="B99" s="43">
        <v>45975</v>
      </c>
      <c r="C99" s="44" t="s">
        <v>195</v>
      </c>
      <c r="D99" s="77" t="s">
        <v>122</v>
      </c>
      <c r="E99" s="44" t="s">
        <v>110</v>
      </c>
      <c r="F99" s="95">
        <f>'Stock Data'!K179</f>
        <v>4279.18</v>
      </c>
      <c r="G99" s="95">
        <v>5400</v>
      </c>
      <c r="H99" s="95"/>
      <c r="I99" s="89" t="s">
        <v>114</v>
      </c>
      <c r="J99" s="96">
        <f t="shared" si="5"/>
        <v>1120.8199999999997</v>
      </c>
      <c r="K99" s="95">
        <f>Table13[[#This Row],[Total Profit]]/2-100</f>
        <v>460.40999999999985</v>
      </c>
      <c r="L99" s="95">
        <f>Table13[[#This Row],[Total Profit]]/2+100</f>
        <v>660.4099999999999</v>
      </c>
      <c r="M99" s="69"/>
      <c r="N99" s="86"/>
      <c r="O99" s="69"/>
      <c r="P99" s="69"/>
    </row>
    <row r="100" ht="25" customHeight="1" spans="1:16" x14ac:dyDescent="0.25">
      <c r="A100" s="76">
        <v>46054</v>
      </c>
      <c r="B100" s="43">
        <v>45985</v>
      </c>
      <c r="C100" s="44" t="s">
        <v>196</v>
      </c>
      <c r="D100" s="77" t="s">
        <v>197</v>
      </c>
      <c r="E100" s="44" t="s">
        <v>110</v>
      </c>
      <c r="F100" s="95">
        <f>'Stock Data'!K178</f>
        <v>3526.9366666666665</v>
      </c>
      <c r="G100" s="95">
        <v>5000</v>
      </c>
      <c r="H100" s="95"/>
      <c r="I100" s="89" t="s">
        <v>114</v>
      </c>
      <c r="J100" s="96">
        <f t="shared" si="5"/>
        <v>1473.0633333333335</v>
      </c>
      <c r="K100" s="95">
        <f>Table13[[#This Row],[Total Profit]]/2-100</f>
        <v>636.5316666666668</v>
      </c>
      <c r="L100" s="95">
        <f>Table13[[#This Row],[Total Profit]]/2+100+(180-83.74)</f>
        <v>932.7916666666667</v>
      </c>
      <c r="M100" s="69"/>
      <c r="N100" s="86"/>
      <c r="O100" s="69"/>
      <c r="P100" s="69"/>
    </row>
    <row r="101" ht="25" customHeight="1" spans="1:16" x14ac:dyDescent="0.25">
      <c r="A101" s="76">
        <v>46054</v>
      </c>
      <c r="B101" s="43">
        <v>45993</v>
      </c>
      <c r="C101" s="44" t="s">
        <v>198</v>
      </c>
      <c r="D101" s="77" t="s">
        <v>199</v>
      </c>
      <c r="E101" s="44" t="s">
        <v>110</v>
      </c>
      <c r="F101" s="95">
        <f>'Stock Data'!K180</f>
        <v>4642.52</v>
      </c>
      <c r="G101" s="95">
        <v>5795</v>
      </c>
      <c r="H101" s="95"/>
      <c r="I101" s="89" t="s">
        <v>114</v>
      </c>
      <c r="J101" s="96">
        <f t="shared" si="5"/>
        <v>1152.4799999999996</v>
      </c>
      <c r="K101" s="95">
        <f>Table13[[#This Row],[Total Profit]]/2-100</f>
        <v>476.2399999999998</v>
      </c>
      <c r="L101" s="95">
        <f>Table13[[#This Row],[Total Profit]]/2+100</f>
        <v>676.2399999999998</v>
      </c>
      <c r="M101" s="69"/>
      <c r="N101" s="69"/>
      <c r="O101" s="69"/>
      <c r="P101" s="69"/>
    </row>
    <row r="102" ht="25" customHeight="1" spans="1:16" x14ac:dyDescent="0.25">
      <c r="A102" s="76">
        <v>46054</v>
      </c>
      <c r="B102" s="43">
        <v>46054</v>
      </c>
      <c r="C102" s="44" t="s">
        <v>200</v>
      </c>
      <c r="D102" s="46" t="s">
        <v>201</v>
      </c>
      <c r="E102" s="43" t="s">
        <v>107</v>
      </c>
      <c r="F102" s="95">
        <f>'Stock Data'!K192</f>
        <v>781.27</v>
      </c>
      <c r="G102" s="95">
        <v>3000</v>
      </c>
      <c r="I102" s="89" t="s">
        <v>107</v>
      </c>
      <c r="J102" s="96">
        <f t="shared" si="5"/>
        <v>2218.73</v>
      </c>
      <c r="K102" s="95"/>
      <c r="L102" s="107">
        <f>Table13[[#This Row],[Total Profit]]+L87</f>
        <v>2152.22</v>
      </c>
      <c r="M102" s="69"/>
      <c r="N102" s="69" t="s">
        <v>202</v>
      </c>
      <c r="O102" s="69"/>
      <c r="P102" s="69"/>
    </row>
    <row r="103" ht="25" customHeight="1" spans="1:16" x14ac:dyDescent="0.25">
      <c r="A103" s="76">
        <v>46054</v>
      </c>
      <c r="B103" s="108"/>
      <c r="C103" s="69"/>
      <c r="D103" s="69"/>
      <c r="E103" s="86"/>
      <c r="F103" s="95"/>
      <c r="G103" s="95"/>
      <c r="H103" s="95"/>
      <c r="I103" s="95"/>
      <c r="J103" s="95"/>
      <c r="K103" s="95"/>
      <c r="L103" s="69"/>
      <c r="M103" s="69"/>
      <c r="N103" s="86"/>
      <c r="O103" s="69"/>
      <c r="P103" s="69"/>
    </row>
    <row r="104" ht="25" customHeight="1" spans="1:16" x14ac:dyDescent="0.25">
      <c r="A104" s="76">
        <v>46054</v>
      </c>
      <c r="B104" s="108"/>
      <c r="C104" s="48"/>
      <c r="D104" s="48"/>
      <c r="E104" s="94"/>
      <c r="F104" s="95"/>
      <c r="G104" s="109"/>
      <c r="H104" s="109"/>
      <c r="I104" s="51" t="s">
        <v>32</v>
      </c>
      <c r="J104" s="52">
        <f>SUM(J93:J102)</f>
        <v>14972.588333333333</v>
      </c>
      <c r="K104" s="52">
        <f>SUM(K93:K102)</f>
        <v>5339.799416666666</v>
      </c>
      <c r="L104" s="52">
        <f>SUM(L93:L102)</f>
        <v>7360.558916666667</v>
      </c>
      <c r="M104" s="48"/>
      <c r="N104" s="94"/>
      <c r="O104" s="48"/>
      <c r="P104" s="48"/>
    </row>
    <row r="105" ht="25" customHeight="1" spans="1:16" x14ac:dyDescent="0.25">
      <c r="A105" s="80">
        <v>46054</v>
      </c>
      <c r="B105" s="110"/>
      <c r="C105" s="91"/>
      <c r="D105" s="91"/>
      <c r="E105" s="92"/>
      <c r="F105" s="104"/>
      <c r="G105" s="111"/>
      <c r="H105" s="111"/>
      <c r="I105" s="111"/>
      <c r="J105" s="111"/>
      <c r="K105" s="111"/>
      <c r="L105" s="91"/>
      <c r="M105" s="91"/>
      <c r="N105" s="92"/>
      <c r="O105" s="91"/>
      <c r="P105" s="91"/>
    </row>
    <row r="106" ht="25" customHeight="1" spans="1:16" x14ac:dyDescent="0.25">
      <c r="A106" s="76">
        <v>46082</v>
      </c>
      <c r="B106" s="43">
        <v>46006</v>
      </c>
      <c r="C106" s="44" t="s">
        <v>203</v>
      </c>
      <c r="D106" s="77" t="s">
        <v>148</v>
      </c>
      <c r="E106" s="44" t="s">
        <v>129</v>
      </c>
      <c r="F106" s="95">
        <f>'Stock Data'!K216</f>
        <v>6493.7</v>
      </c>
      <c r="G106" s="95">
        <v>8465</v>
      </c>
      <c r="H106" s="95"/>
      <c r="I106" s="89" t="s">
        <v>114</v>
      </c>
      <c r="J106" s="96">
        <f>G106-F106</f>
        <v>1971.3000000000002</v>
      </c>
      <c r="K106" s="95">
        <f>Table13[[#This Row],[Total Profit]]/2-158</f>
        <v>827.6500000000001</v>
      </c>
      <c r="L106" s="95">
        <f>Table13[[#This Row],[Total Profit]]/2+158</f>
        <v>1143.65</v>
      </c>
      <c r="M106" s="69"/>
      <c r="N106" s="86" t="s">
        <v>204</v>
      </c>
      <c r="O106" s="69"/>
      <c r="P106" s="69"/>
    </row>
    <row r="107" ht="25" customHeight="1" spans="1:16" x14ac:dyDescent="0.25">
      <c r="A107" s="76">
        <v>46082</v>
      </c>
      <c r="B107" s="43">
        <v>46050</v>
      </c>
      <c r="C107" s="44" t="s">
        <v>205</v>
      </c>
      <c r="D107" s="44" t="s">
        <v>206</v>
      </c>
      <c r="E107" s="44" t="s">
        <v>107</v>
      </c>
      <c r="F107" s="95">
        <f>'Stock Data'!K222</f>
        <v>6388.24</v>
      </c>
      <c r="G107" s="95">
        <v>3295</v>
      </c>
      <c r="H107" s="95">
        <v>5500</v>
      </c>
      <c r="I107" s="89" t="s">
        <v>107</v>
      </c>
      <c r="J107" s="96">
        <f>G107-F107</f>
        <v>-3093.24</v>
      </c>
      <c r="K107" s="95"/>
      <c r="L107" s="100">
        <f>Table13[[#This Row],[Total Profit]]</f>
        <v>-3093.24</v>
      </c>
      <c r="M107" s="69"/>
      <c r="N107" s="86" t="s">
        <v>207</v>
      </c>
      <c r="O107" s="69"/>
      <c r="P107" s="69"/>
    </row>
    <row r="108" ht="25" customHeight="1" spans="1:16" x14ac:dyDescent="0.25">
      <c r="A108" s="76">
        <v>46082</v>
      </c>
      <c r="B108" s="43">
        <v>46059</v>
      </c>
      <c r="C108" s="46" t="s">
        <v>208</v>
      </c>
      <c r="D108" s="46" t="s">
        <v>209</v>
      </c>
      <c r="E108" s="43" t="s">
        <v>125</v>
      </c>
      <c r="F108" s="95">
        <f>'Stock Data'!K226</f>
        <v>5336.28</v>
      </c>
      <c r="G108" s="95">
        <v>7200</v>
      </c>
      <c r="H108" s="95"/>
      <c r="I108" s="89" t="s">
        <v>192</v>
      </c>
      <c r="J108" s="96">
        <f>G108-F108</f>
        <v>1863.7200000000003</v>
      </c>
      <c r="K108" s="95">
        <f>Table13[[#This Row],[Total Profit]]*0.35</f>
        <v>652.302</v>
      </c>
      <c r="L108" s="95">
        <f>Table13[[#This Row],[Total Profit]]-Table13[[#This Row],[Investor Profit]]</f>
        <v>1211.4180000000001</v>
      </c>
      <c r="M108" s="69"/>
      <c r="N108" s="86" t="s">
        <v>210</v>
      </c>
      <c r="O108" s="69"/>
      <c r="P108" s="69"/>
    </row>
    <row r="109" ht="25" customHeight="1" spans="1:16" x14ac:dyDescent="0.25">
      <c r="A109" s="76">
        <v>46082</v>
      </c>
      <c r="B109" s="43">
        <v>46062</v>
      </c>
      <c r="C109" s="44" t="s">
        <v>211</v>
      </c>
      <c r="D109" s="44" t="s">
        <v>212</v>
      </c>
      <c r="E109" s="44" t="s">
        <v>129</v>
      </c>
      <c r="F109" s="95">
        <f>'Stock Data'!K229</f>
        <v>8231.48</v>
      </c>
      <c r="G109" s="95">
        <v>10995</v>
      </c>
      <c r="H109" s="95"/>
      <c r="I109" s="89" t="s">
        <v>114</v>
      </c>
      <c r="J109" s="96">
        <f>G109-F109</f>
        <v>2763.5200000000004</v>
      </c>
      <c r="K109" s="95">
        <f>Table13[[#This Row],[Total Profit]]/2-158</f>
        <v>1223.7600000000002</v>
      </c>
      <c r="L109" s="95">
        <f>Table13[[#This Row],[Total Profit]]/2+158</f>
        <v>1539.7600000000002</v>
      </c>
      <c r="M109" s="69"/>
      <c r="N109" s="86" t="s">
        <v>213</v>
      </c>
      <c r="O109" s="69"/>
      <c r="P109" s="69"/>
    </row>
    <row r="110" ht="25" customHeight="1" spans="1:16" x14ac:dyDescent="0.25">
      <c r="A110" s="76">
        <v>46082</v>
      </c>
      <c r="B110" s="77" t="s">
        <v>214</v>
      </c>
      <c r="C110" s="44" t="s">
        <v>215</v>
      </c>
      <c r="D110" s="77" t="s">
        <v>216</v>
      </c>
      <c r="E110" s="44" t="s">
        <v>110</v>
      </c>
      <c r="F110" s="95">
        <f>'Stock Data'!K237</f>
        <v>4606.41</v>
      </c>
      <c r="G110" s="95">
        <v>7495</v>
      </c>
      <c r="H110" s="95"/>
      <c r="I110" s="89" t="s">
        <v>188</v>
      </c>
      <c r="J110" s="96">
        <f>G110-F110</f>
        <v>2888.59</v>
      </c>
      <c r="K110" s="95">
        <f>Table13[[#This Row],[Total Profit]]*0.3</f>
        <v>866.577</v>
      </c>
      <c r="L110" s="95">
        <f>Table13[[#This Row],[Total Profit]]-Table13[[#This Row],[Investor Profit]]</f>
        <v>2022.0130000000001</v>
      </c>
      <c r="M110" s="69"/>
      <c r="N110" s="86" t="s">
        <v>217</v>
      </c>
      <c r="O110" s="69"/>
      <c r="P110" s="69"/>
    </row>
    <row r="111" ht="25" customHeight="1" spans="1:16" x14ac:dyDescent="0.25">
      <c r="A111" s="76">
        <v>46082</v>
      </c>
      <c r="B111" s="43">
        <v>46073</v>
      </c>
      <c r="C111" s="44" t="s">
        <v>218</v>
      </c>
      <c r="D111" s="44" t="s">
        <v>219</v>
      </c>
      <c r="E111" s="44" t="s">
        <v>113</v>
      </c>
      <c r="F111" s="95">
        <f>'Stock Data'!K235</f>
        <v>7508.91</v>
      </c>
      <c r="G111" s="95">
        <v>10800</v>
      </c>
      <c r="H111" s="95"/>
      <c r="I111" s="89" t="s">
        <v>192</v>
      </c>
      <c r="J111" s="96">
        <f>Table13[[#This Row],[Sold]]-Table13[[#This Row],[Total Cost]]</f>
        <v>3291.09</v>
      </c>
      <c r="K111" s="95">
        <f>Table13[[#This Row],[Total Profit]]*0.35</f>
        <v>1151.8815</v>
      </c>
      <c r="L111" s="95">
        <f>Table13[[#This Row],[Total Profit]]*0.65</f>
        <v>2139.2085</v>
      </c>
      <c r="M111" s="69"/>
      <c r="N111" s="86" t="s">
        <v>220</v>
      </c>
      <c r="O111" s="69"/>
      <c r="P111" s="69"/>
    </row>
    <row r="112" ht="25" customHeight="1" spans="1:16" x14ac:dyDescent="0.25">
      <c r="A112" s="76">
        <v>46082</v>
      </c>
      <c r="B112" s="43">
        <v>46055</v>
      </c>
      <c r="C112" s="46" t="s">
        <v>221</v>
      </c>
      <c r="D112" s="46" t="s">
        <v>128</v>
      </c>
      <c r="E112" s="43" t="s">
        <v>110</v>
      </c>
      <c r="F112" s="95">
        <f>'Stock Data'!K225</f>
        <v>5947.61</v>
      </c>
      <c r="G112" s="95">
        <v>7995</v>
      </c>
      <c r="H112" s="95"/>
      <c r="I112" s="89" t="s">
        <v>188</v>
      </c>
      <c r="J112" s="96">
        <f>G112-F112</f>
        <v>2047.3900000000003</v>
      </c>
      <c r="K112" s="95">
        <f>Table13[[#This Row],[Total Profit]]*0.3</f>
        <v>614.2170000000001</v>
      </c>
      <c r="L112" s="95">
        <f>Table13[[#This Row],[Total Profit]]-Table13[[#This Row],[Investor Profit]]</f>
        <v>1433.1730000000002</v>
      </c>
      <c r="M112" s="69"/>
      <c r="N112" s="86" t="s">
        <v>222</v>
      </c>
      <c r="O112" s="69"/>
      <c r="P112" s="69"/>
    </row>
    <row r="113" ht="25" customHeight="1" spans="1:16" x14ac:dyDescent="0.25">
      <c r="A113" s="76">
        <v>46082</v>
      </c>
      <c r="B113" s="61">
        <v>46077</v>
      </c>
      <c r="C113" s="62" t="s">
        <v>223</v>
      </c>
      <c r="D113" s="46" t="s">
        <v>128</v>
      </c>
      <c r="E113" s="62" t="s">
        <v>125</v>
      </c>
      <c r="F113" s="112">
        <f>'Stock Data'!K239</f>
        <v>4625.13</v>
      </c>
      <c r="G113" s="95">
        <v>7250</v>
      </c>
      <c r="H113" s="95"/>
      <c r="I113" s="89" t="s">
        <v>192</v>
      </c>
      <c r="J113" s="96">
        <f>Table13[[#This Row],[Sold]]-Table13[[#This Row],[Total Cost]]</f>
        <v>2624.87</v>
      </c>
      <c r="K113" s="95">
        <f>Table13[[#This Row],[Total Profit]]*0.35</f>
        <v>918.7044999999999</v>
      </c>
      <c r="L113" s="95">
        <f>Table13[[#This Row],[Total Profit]]*0.65</f>
        <v>1706.1655</v>
      </c>
      <c r="M113" s="69"/>
      <c r="N113" s="86" t="s">
        <v>224</v>
      </c>
      <c r="O113" s="69"/>
      <c r="P113" s="69"/>
    </row>
    <row r="114" ht="25" customHeight="1" spans="1:16" x14ac:dyDescent="0.25">
      <c r="A114" s="113">
        <v>46082</v>
      </c>
      <c r="B114" s="114">
        <v>46022</v>
      </c>
      <c r="C114" s="115" t="s">
        <v>225</v>
      </c>
      <c r="D114" s="115" t="s">
        <v>226</v>
      </c>
      <c r="E114" s="115" t="s">
        <v>129</v>
      </c>
      <c r="F114" s="116">
        <f>'Stock Data'!K218</f>
        <v>6497.88</v>
      </c>
      <c r="G114" s="116">
        <v>8650</v>
      </c>
      <c r="H114" s="116"/>
      <c r="I114" s="89" t="s">
        <v>114</v>
      </c>
      <c r="J114" s="96">
        <f t="shared" ref="J114:J119" si="6">G114-F114</f>
        <v>2152.12</v>
      </c>
      <c r="K114" s="95">
        <f>Table13[[#This Row],[Total Profit]]/2-158</f>
        <v>918.06</v>
      </c>
      <c r="L114" s="95">
        <f>Table13[[#This Row],[Total Profit]]/2+158</f>
        <v>1234.06</v>
      </c>
      <c r="M114" s="69"/>
      <c r="N114" s="117" t="s">
        <v>227</v>
      </c>
      <c r="O114" s="118"/>
      <c r="P114" s="118"/>
    </row>
    <row r="115" ht="25" customHeight="1" spans="1:16" x14ac:dyDescent="0.25">
      <c r="A115" s="113">
        <v>46082</v>
      </c>
      <c r="B115" s="43">
        <v>46066</v>
      </c>
      <c r="C115" s="44" t="s">
        <v>228</v>
      </c>
      <c r="D115" s="44" t="s">
        <v>229</v>
      </c>
      <c r="E115" s="115" t="s">
        <v>129</v>
      </c>
      <c r="F115" s="116">
        <f>'Stock Data'!K230</f>
        <v>5510.52</v>
      </c>
      <c r="G115" s="116">
        <v>7795</v>
      </c>
      <c r="H115" s="117"/>
      <c r="I115" s="89" t="s">
        <v>114</v>
      </c>
      <c r="J115" s="96">
        <f t="shared" si="6"/>
        <v>2284.4799999999996</v>
      </c>
      <c r="K115" s="95">
        <f>Table13[[#This Row],[Total Profit]]/2-158</f>
        <v>984.2399999999998</v>
      </c>
      <c r="L115" s="95">
        <f>Table13[[#This Row],[Total Profit]]/2+158</f>
        <v>1300.2399999999998</v>
      </c>
      <c r="M115" s="117"/>
      <c r="N115" s="117"/>
      <c r="O115" s="118"/>
      <c r="P115" s="118"/>
    </row>
    <row r="116" ht="25" customHeight="1" spans="1:16" x14ac:dyDescent="0.25">
      <c r="A116" s="113">
        <v>46082</v>
      </c>
      <c r="B116" s="61">
        <v>46100</v>
      </c>
      <c r="C116" s="119" t="s">
        <v>230</v>
      </c>
      <c r="D116" s="62" t="s">
        <v>231</v>
      </c>
      <c r="E116" s="62" t="s">
        <v>129</v>
      </c>
      <c r="F116" s="116">
        <f>'Stock Data'!K248</f>
        <v>8246.7</v>
      </c>
      <c r="G116" s="116">
        <f>Table13[[#This Row],[Total Cost]]</f>
        <v>8246.7</v>
      </c>
      <c r="H116" s="117"/>
      <c r="I116" s="89" t="s">
        <v>114</v>
      </c>
      <c r="J116" s="96">
        <f t="shared" si="6"/>
        <v>0</v>
      </c>
      <c r="K116" s="95">
        <f>Table13[[#This Row],[Total Profit]]/2</f>
        <v>0</v>
      </c>
      <c r="L116" s="95">
        <f>Table13[[#This Row],[Total Profit]]/2</f>
        <v>0</v>
      </c>
      <c r="M116" s="120"/>
      <c r="N116" s="117"/>
      <c r="O116" s="118"/>
      <c r="P116" s="69"/>
    </row>
    <row r="117" ht="25" customHeight="1" spans="1:16" x14ac:dyDescent="0.25">
      <c r="A117" s="113">
        <v>46082</v>
      </c>
      <c r="B117" s="61">
        <v>46085</v>
      </c>
      <c r="C117" s="62" t="s">
        <v>232</v>
      </c>
      <c r="D117" s="62" t="s">
        <v>233</v>
      </c>
      <c r="E117" s="44" t="s">
        <v>107</v>
      </c>
      <c r="F117" s="116">
        <f>'Stock Data'!K242</f>
        <v>3385.5299999999997</v>
      </c>
      <c r="G117" s="116">
        <v>7989.29</v>
      </c>
      <c r="H117" s="117"/>
      <c r="I117" s="89" t="s">
        <v>107</v>
      </c>
      <c r="J117" s="96">
        <f t="shared" si="6"/>
        <v>4603.76</v>
      </c>
      <c r="K117" s="96"/>
      <c r="L117" s="95">
        <v>4603.76</v>
      </c>
      <c r="M117" s="117"/>
      <c r="N117" s="117" t="s">
        <v>234</v>
      </c>
      <c r="O117" s="118"/>
      <c r="P117" s="118"/>
    </row>
    <row r="118" ht="25" customHeight="1" spans="1:16" x14ac:dyDescent="0.25">
      <c r="A118" s="113">
        <v>46082</v>
      </c>
      <c r="B118" s="114">
        <v>46007</v>
      </c>
      <c r="C118" s="115" t="s">
        <v>235</v>
      </c>
      <c r="D118" s="115" t="s">
        <v>122</v>
      </c>
      <c r="E118" s="44" t="s">
        <v>107</v>
      </c>
      <c r="F118" s="116">
        <f>'Stock Data'!K217</f>
        <v>4014.6099999999997</v>
      </c>
      <c r="G118" s="116">
        <v>6800</v>
      </c>
      <c r="H118" s="117"/>
      <c r="I118" s="89" t="s">
        <v>107</v>
      </c>
      <c r="J118" s="96">
        <f t="shared" si="6"/>
        <v>2785.3900000000003</v>
      </c>
      <c r="K118" s="117"/>
      <c r="L118" s="95">
        <v>2857.37</v>
      </c>
      <c r="M118" s="117"/>
      <c r="N118" s="117" t="s">
        <v>234</v>
      </c>
      <c r="O118" s="118"/>
      <c r="P118" s="118"/>
    </row>
    <row r="119" ht="25" customHeight="1" spans="1:16" x14ac:dyDescent="0.25">
      <c r="A119" s="113">
        <v>46082</v>
      </c>
      <c r="B119" s="43">
        <v>46050</v>
      </c>
      <c r="C119" s="44" t="s">
        <v>236</v>
      </c>
      <c r="D119" s="44" t="s">
        <v>237</v>
      </c>
      <c r="E119" s="44" t="s">
        <v>129</v>
      </c>
      <c r="F119" s="116">
        <f>'Stock Data'!K221</f>
        <v>6397.64</v>
      </c>
      <c r="G119" s="116">
        <v>8695</v>
      </c>
      <c r="H119" s="117"/>
      <c r="I119" s="89" t="s">
        <v>114</v>
      </c>
      <c r="J119" s="96">
        <f t="shared" si="6"/>
        <v>2297.3599999999997</v>
      </c>
      <c r="K119" s="95">
        <f>Table13[[#This Row],[Total Profit]]/2-140</f>
        <v>1008.6799999999998</v>
      </c>
      <c r="L119" s="95">
        <f>Table13[[#This Row],[Total Profit]]/2+140</f>
        <v>1288.6799999999998</v>
      </c>
      <c r="M119" s="120"/>
      <c r="N119" s="117"/>
      <c r="O119" s="118"/>
      <c r="P119" s="69"/>
    </row>
    <row r="120" ht="25" customHeight="1" spans="1:16" x14ac:dyDescent="0.25">
      <c r="A120" s="76">
        <v>46082</v>
      </c>
      <c r="B120" s="114"/>
      <c r="C120" s="115"/>
      <c r="D120" s="115"/>
      <c r="E120" s="50"/>
      <c r="F120" s="75"/>
      <c r="G120" s="116"/>
      <c r="H120" s="117"/>
      <c r="I120" s="89"/>
      <c r="J120" s="96"/>
      <c r="K120" s="117"/>
      <c r="L120" s="95"/>
      <c r="M120" s="120"/>
      <c r="N120" s="117"/>
      <c r="O120" s="118"/>
      <c r="P120" s="69"/>
    </row>
    <row r="121" ht="25" customHeight="1" spans="1:16" x14ac:dyDescent="0.25">
      <c r="A121" s="76">
        <v>46082</v>
      </c>
      <c r="B121" s="108"/>
      <c r="C121" s="48"/>
      <c r="D121" s="48"/>
      <c r="E121" s="48"/>
      <c r="F121" s="75"/>
      <c r="G121" s="95"/>
      <c r="H121" s="95"/>
      <c r="I121" s="95"/>
      <c r="J121" s="96"/>
      <c r="K121" s="95"/>
      <c r="L121" s="95"/>
      <c r="M121" s="45"/>
      <c r="N121" s="86"/>
      <c r="O121" s="69"/>
      <c r="P121" s="69"/>
    </row>
    <row r="122" ht="25" customHeight="1" spans="1:16" x14ac:dyDescent="0.25">
      <c r="A122" s="76">
        <v>46082</v>
      </c>
      <c r="B122" s="108"/>
      <c r="C122" s="48"/>
      <c r="D122" s="48"/>
      <c r="E122" s="48"/>
      <c r="F122" s="95"/>
      <c r="G122" s="95"/>
      <c r="H122" s="95"/>
      <c r="I122" s="51" t="s">
        <v>32</v>
      </c>
      <c r="J122" s="52">
        <f>SUM(J106:J119)</f>
        <v>28480.35</v>
      </c>
      <c r="K122" s="52">
        <f>SUM(K106:K119)</f>
        <v>9166.072</v>
      </c>
      <c r="L122" s="52">
        <f>SUM(L106:L121)</f>
        <v>19386.258</v>
      </c>
      <c r="M122" s="86"/>
      <c r="N122" s="86"/>
      <c r="O122" s="69"/>
      <c r="P122" s="69"/>
    </row>
    <row r="123" ht="25" customHeight="1" spans="1:16" x14ac:dyDescent="0.25">
      <c r="A123" s="80">
        <v>46082</v>
      </c>
      <c r="B123" s="110"/>
      <c r="C123" s="91"/>
      <c r="D123" s="91"/>
      <c r="E123" s="91"/>
      <c r="F123" s="104"/>
      <c r="G123" s="111"/>
      <c r="H123" s="111"/>
      <c r="I123" s="111"/>
      <c r="J123" s="111"/>
      <c r="K123" s="111"/>
      <c r="L123" s="91"/>
      <c r="M123" s="91"/>
      <c r="N123" s="92"/>
      <c r="O123" s="91"/>
      <c r="P123" s="91"/>
    </row>
    <row r="124" ht="25" customHeight="1" spans="1:16" x14ac:dyDescent="0.25">
      <c r="A124" s="76">
        <v>46113</v>
      </c>
      <c r="B124" s="121">
        <v>45989</v>
      </c>
      <c r="C124" s="122" t="s">
        <v>238</v>
      </c>
      <c r="D124" s="122" t="s">
        <v>239</v>
      </c>
      <c r="E124" s="122" t="s">
        <v>107</v>
      </c>
      <c r="F124" s="123">
        <f>'Stock Data'!K256</f>
        <v>4901.89</v>
      </c>
      <c r="G124" s="123">
        <v>5695</v>
      </c>
      <c r="H124" s="123"/>
      <c r="I124" s="124" t="s">
        <v>107</v>
      </c>
      <c r="J124" s="96">
        <f>G124-F124</f>
        <v>793.1099999999997</v>
      </c>
      <c r="K124" s="96"/>
      <c r="L124" s="95">
        <f>Table13[[#This Row],[Total Profit]]</f>
        <v>793.1099999999997</v>
      </c>
      <c r="M124" s="90"/>
      <c r="N124" s="86" t="s">
        <v>240</v>
      </c>
      <c r="P124" s="48"/>
    </row>
    <row r="125" ht="25" customHeight="1" spans="1:16" x14ac:dyDescent="0.25">
      <c r="A125" s="76">
        <v>46113</v>
      </c>
      <c r="B125" s="125">
        <v>46077</v>
      </c>
      <c r="C125" s="62" t="s">
        <v>241</v>
      </c>
      <c r="D125" s="62" t="s">
        <v>242</v>
      </c>
      <c r="E125" s="44" t="s">
        <v>110</v>
      </c>
      <c r="F125" s="95">
        <f>'Stock Data'!K269</f>
        <v>7491.5</v>
      </c>
      <c r="G125" s="95">
        <v>9971</v>
      </c>
      <c r="H125" s="95"/>
      <c r="I125" s="89" t="s">
        <v>188</v>
      </c>
      <c r="J125" s="96">
        <f>G125-F125</f>
        <v>2479.5</v>
      </c>
      <c r="K125" s="95">
        <f>Table13[[#This Row],[Total Profit]]*0.3</f>
        <v>743.85</v>
      </c>
      <c r="L125" s="95">
        <f>Table13[[#This Row],[Total Profit]]-Table13[[#This Row],[Investor Profit]]</f>
        <v>1735.65</v>
      </c>
      <c r="M125" s="126"/>
      <c r="N125" s="86" t="s">
        <v>243</v>
      </c>
      <c r="O125" s="48"/>
      <c r="P125" s="127"/>
    </row>
    <row r="126" ht="25" customHeight="1" spans="1:16" x14ac:dyDescent="0.25">
      <c r="A126" s="76">
        <v>46113</v>
      </c>
      <c r="B126" s="43">
        <v>46071</v>
      </c>
      <c r="C126" s="44" t="s">
        <v>244</v>
      </c>
      <c r="D126" s="44" t="s">
        <v>245</v>
      </c>
      <c r="E126" s="44" t="s">
        <v>107</v>
      </c>
      <c r="F126" s="116">
        <f>'Stock Data'!K265</f>
        <v>6993.22</v>
      </c>
      <c r="G126" s="116">
        <v>8400</v>
      </c>
      <c r="H126" s="116"/>
      <c r="I126" s="124" t="s">
        <v>107</v>
      </c>
      <c r="J126" s="96">
        <f>G126-F126</f>
        <v>1406.7799999999997</v>
      </c>
      <c r="K126" s="96"/>
      <c r="L126" s="95">
        <f>Table13[[#This Row],[Total Profit]]</f>
        <v>1406.7799999999997</v>
      </c>
      <c r="M126" s="128"/>
      <c r="N126" s="86" t="s">
        <v>246</v>
      </c>
      <c r="O126" s="127"/>
      <c r="P126" s="69"/>
    </row>
    <row r="127" ht="25" customHeight="1" spans="1:16" x14ac:dyDescent="0.25">
      <c r="A127" s="76">
        <v>46113</v>
      </c>
      <c r="B127" s="61">
        <v>46100</v>
      </c>
      <c r="C127" s="62" t="s">
        <v>247</v>
      </c>
      <c r="D127" s="62" t="s">
        <v>248</v>
      </c>
      <c r="E127" s="44" t="s">
        <v>110</v>
      </c>
      <c r="F127" s="95">
        <f>'Stock Data'!K277</f>
        <v>8558.78</v>
      </c>
      <c r="G127" s="95">
        <v>12050</v>
      </c>
      <c r="H127" s="95"/>
      <c r="I127" s="89" t="s">
        <v>188</v>
      </c>
      <c r="J127" s="96">
        <f>G127-F127</f>
        <v>3491.2199999999993</v>
      </c>
      <c r="K127" s="95">
        <f>Table13[[#This Row],[Total Profit]]*0.3</f>
        <v>1047.3659999999998</v>
      </c>
      <c r="L127" s="95">
        <f>Table13[[#This Row],[Total Profit]]-Table13[[#This Row],[Investor Profit]]</f>
        <v>2443.8539999999994</v>
      </c>
      <c r="M127" s="45"/>
      <c r="N127" s="86" t="s">
        <v>246</v>
      </c>
      <c r="O127" s="48"/>
      <c r="P127" s="69"/>
    </row>
    <row r="128" ht="25" customHeight="1" spans="1:16" x14ac:dyDescent="0.25">
      <c r="A128" s="76">
        <v>46113</v>
      </c>
      <c r="B128" s="43">
        <v>46067</v>
      </c>
      <c r="C128" s="44" t="s">
        <v>249</v>
      </c>
      <c r="D128" s="44" t="s">
        <v>70</v>
      </c>
      <c r="E128" s="44" t="s">
        <v>107</v>
      </c>
      <c r="F128" s="116"/>
      <c r="G128" s="116">
        <v>5295</v>
      </c>
      <c r="H128" s="116"/>
      <c r="I128" s="124" t="s">
        <v>107</v>
      </c>
      <c r="J128" s="96">
        <f>G128-F128</f>
        <v>5295</v>
      </c>
      <c r="K128" s="116"/>
      <c r="L128" s="95">
        <f>Table13[[#This Row],[Total Profit]]</f>
        <v>5295</v>
      </c>
      <c r="M128" s="128"/>
      <c r="N128" s="117" t="s">
        <v>250</v>
      </c>
      <c r="O128" s="127"/>
      <c r="P128" s="69"/>
    </row>
    <row r="129" ht="25" customHeight="1" spans="1:16" x14ac:dyDescent="0.25">
      <c r="A129" s="76">
        <v>46113</v>
      </c>
      <c r="B129" s="61">
        <v>46099</v>
      </c>
      <c r="C129" s="62" t="s">
        <v>251</v>
      </c>
      <c r="D129" s="62" t="s">
        <v>252</v>
      </c>
      <c r="E129" s="62" t="s">
        <v>113</v>
      </c>
      <c r="F129" s="95">
        <f>'Stock Data'!K275</f>
        <v>7944.275</v>
      </c>
      <c r="G129" s="95">
        <v>10250</v>
      </c>
      <c r="H129" s="95"/>
      <c r="I129" s="89" t="s">
        <v>192</v>
      </c>
      <c r="J129" s="96">
        <f>Table13[[#This Row],[Sold]]-Table13[[#This Row],[Total Cost]]</f>
        <v>2305.7250000000004</v>
      </c>
      <c r="K129" s="95">
        <f>Table13[[#This Row],[Total Profit]]*0.35</f>
        <v>807.0037500000001</v>
      </c>
      <c r="L129" s="95">
        <f>Table13[[#This Row],[Total Profit]]*0.65</f>
        <v>1498.7212500000003</v>
      </c>
      <c r="M129" s="45"/>
      <c r="N129" s="117" t="s">
        <v>253</v>
      </c>
      <c r="O129" s="48"/>
      <c r="P129" s="69"/>
    </row>
    <row r="130" ht="25" customHeight="1" spans="1:16" x14ac:dyDescent="0.25">
      <c r="A130" s="76">
        <v>46113</v>
      </c>
      <c r="B130" s="129">
        <v>46054</v>
      </c>
      <c r="C130" s="43" t="s">
        <v>254</v>
      </c>
      <c r="D130" s="43" t="s">
        <v>255</v>
      </c>
      <c r="E130" s="118" t="s">
        <v>107</v>
      </c>
      <c r="F130" s="116">
        <f>'Stock Data'!K261</f>
        <v>122.46000000000001</v>
      </c>
      <c r="G130" s="116">
        <v>6650</v>
      </c>
      <c r="H130" s="116"/>
      <c r="I130" s="124" t="s">
        <v>107</v>
      </c>
      <c r="J130" s="96">
        <f>Table13[[#This Row],[Sold]]-Table13[[#This Row],[Total Cost]]</f>
        <v>6527.54</v>
      </c>
      <c r="K130" s="116"/>
      <c r="L130" s="95">
        <f>Table13[[#This Row],[Total Profit]]</f>
        <v>6527.54</v>
      </c>
      <c r="M130" s="128"/>
      <c r="N130" s="117" t="s">
        <v>256</v>
      </c>
      <c r="O130" s="127"/>
      <c r="P130" s="69"/>
    </row>
    <row r="131" ht="25" customHeight="1" spans="1:16" x14ac:dyDescent="0.25">
      <c r="A131" s="76">
        <v>46113</v>
      </c>
      <c r="B131" s="108"/>
      <c r="C131" s="48"/>
      <c r="D131" s="48"/>
      <c r="E131" s="48"/>
      <c r="F131" s="95"/>
      <c r="G131" s="95"/>
      <c r="H131" s="95"/>
      <c r="I131" s="95"/>
      <c r="J131" s="95"/>
      <c r="K131" s="95"/>
      <c r="L131" s="95"/>
      <c r="M131" s="45"/>
      <c r="N131" s="86"/>
      <c r="O131" s="48"/>
      <c r="P131" s="69"/>
    </row>
    <row r="132" ht="25" customHeight="1" spans="1:16" x14ac:dyDescent="0.25">
      <c r="A132" s="76">
        <v>46113</v>
      </c>
      <c r="B132" s="130"/>
      <c r="C132" s="127"/>
      <c r="D132" s="127"/>
      <c r="E132" s="127"/>
      <c r="F132" s="116"/>
      <c r="G132" s="116"/>
      <c r="H132" s="116"/>
      <c r="I132" s="116"/>
      <c r="J132" s="116"/>
      <c r="K132" s="116"/>
      <c r="L132" s="116"/>
      <c r="M132" s="128"/>
      <c r="N132" s="117"/>
      <c r="O132" s="127"/>
      <c r="P132" s="69"/>
    </row>
    <row r="133" ht="25" customHeight="1" spans="1:16" x14ac:dyDescent="0.25">
      <c r="A133" s="76">
        <v>46113</v>
      </c>
      <c r="B133" s="108"/>
      <c r="C133" s="48"/>
      <c r="D133" s="48"/>
      <c r="E133" s="48"/>
      <c r="F133" s="95"/>
      <c r="G133" s="95"/>
      <c r="H133" s="95"/>
      <c r="I133" s="95"/>
      <c r="J133" s="95"/>
      <c r="K133" s="95"/>
      <c r="L133" s="95"/>
      <c r="M133" s="45"/>
      <c r="N133" s="86"/>
      <c r="O133" s="48"/>
      <c r="P133" s="69"/>
    </row>
    <row r="134" ht="25" customHeight="1" spans="1:16" x14ac:dyDescent="0.25">
      <c r="A134" s="76">
        <v>46113</v>
      </c>
      <c r="B134" s="130"/>
      <c r="C134" s="127"/>
      <c r="D134" s="127"/>
      <c r="E134" s="127"/>
      <c r="F134" s="116"/>
      <c r="G134" s="116"/>
      <c r="H134" s="116"/>
      <c r="I134" s="116"/>
      <c r="J134" s="116"/>
      <c r="K134" s="116"/>
      <c r="L134" s="116"/>
      <c r="M134" s="128"/>
      <c r="N134" s="117"/>
      <c r="O134" s="127"/>
      <c r="P134" s="69"/>
    </row>
    <row r="135" ht="25" customHeight="1" spans="1:16" x14ac:dyDescent="0.25">
      <c r="A135" s="76">
        <v>46113</v>
      </c>
      <c r="B135" s="108"/>
      <c r="C135" s="48"/>
      <c r="D135" s="48"/>
      <c r="E135" s="48"/>
      <c r="F135" s="95"/>
      <c r="G135" s="95"/>
      <c r="H135" s="95"/>
      <c r="I135" s="95"/>
      <c r="J135" s="95"/>
      <c r="K135" s="95"/>
      <c r="L135" s="95"/>
      <c r="M135" s="45"/>
      <c r="N135" s="86"/>
      <c r="O135" s="48"/>
      <c r="P135" s="69"/>
    </row>
    <row r="136" ht="25" customHeight="1" spans="1:16" x14ac:dyDescent="0.25">
      <c r="A136" s="76">
        <v>46113</v>
      </c>
      <c r="B136" s="130"/>
      <c r="C136" s="127"/>
      <c r="D136" s="127"/>
      <c r="E136" s="127"/>
      <c r="F136" s="116"/>
      <c r="G136" s="116"/>
      <c r="H136" s="116"/>
      <c r="I136" s="116"/>
      <c r="J136" s="116"/>
      <c r="K136" s="116"/>
      <c r="L136" s="116"/>
      <c r="M136" s="128"/>
      <c r="N136" s="117"/>
      <c r="O136" s="127"/>
      <c r="P136" s="69"/>
    </row>
    <row r="137" ht="25" customHeight="1" spans="1:16" x14ac:dyDescent="0.25">
      <c r="A137" s="76">
        <v>46113</v>
      </c>
      <c r="B137" s="108"/>
      <c r="C137" s="48"/>
      <c r="D137" s="48"/>
      <c r="E137" s="48"/>
      <c r="F137" s="95"/>
      <c r="G137" s="95"/>
      <c r="H137" s="95"/>
      <c r="I137" s="95"/>
      <c r="J137" s="95"/>
      <c r="K137" s="95"/>
      <c r="L137" s="95"/>
      <c r="M137" s="45"/>
      <c r="N137" s="86"/>
      <c r="O137" s="48"/>
      <c r="P137" s="69"/>
    </row>
    <row r="138" ht="25" customHeight="1" spans="1:16" x14ac:dyDescent="0.25">
      <c r="A138" s="76">
        <v>46113</v>
      </c>
      <c r="B138" s="130"/>
      <c r="C138" s="127"/>
      <c r="D138" s="127"/>
      <c r="E138" s="127"/>
      <c r="F138" s="116"/>
      <c r="G138" s="116"/>
      <c r="H138" s="116"/>
      <c r="I138" s="116"/>
      <c r="J138" s="116"/>
      <c r="K138" s="116"/>
      <c r="L138" s="116"/>
      <c r="M138" s="128"/>
      <c r="N138" s="117"/>
      <c r="O138" s="127"/>
      <c r="P138" s="69"/>
    </row>
    <row r="139" ht="25" customHeight="1" spans="1:16" x14ac:dyDescent="0.25">
      <c r="A139" s="76">
        <v>46113</v>
      </c>
      <c r="B139" s="108"/>
      <c r="C139" s="48"/>
      <c r="D139" s="48"/>
      <c r="E139" s="48"/>
      <c r="F139" s="95"/>
      <c r="G139" s="95"/>
      <c r="H139" s="95"/>
      <c r="I139" s="95"/>
      <c r="J139" s="95"/>
      <c r="K139" s="95"/>
      <c r="L139" s="95"/>
      <c r="M139" s="45"/>
      <c r="N139" s="86"/>
      <c r="O139" s="48"/>
      <c r="P139" s="69"/>
    </row>
    <row r="140" ht="25" customHeight="1" spans="1:16" x14ac:dyDescent="0.25">
      <c r="A140" s="76">
        <v>46113</v>
      </c>
      <c r="B140" s="130"/>
      <c r="C140" s="127"/>
      <c r="D140" s="127"/>
      <c r="E140" s="127"/>
      <c r="F140" s="116"/>
      <c r="G140" s="131"/>
      <c r="H140" s="131"/>
      <c r="I140" s="132" t="s">
        <v>32</v>
      </c>
      <c r="J140" s="133">
        <f>SUM(J124:J137)</f>
        <v>22298.875</v>
      </c>
      <c r="K140" s="133">
        <f>SUM(K124:K137)</f>
        <v>2598.21975</v>
      </c>
      <c r="L140" s="133">
        <f>SUM(L124:L137)</f>
        <v>19700.65525</v>
      </c>
      <c r="M140" s="134"/>
      <c r="N140" s="117"/>
      <c r="O140" s="127"/>
      <c r="P140" s="69"/>
    </row>
    <row r="141" ht="25" customHeight="1" spans="1:16" x14ac:dyDescent="0.25">
      <c r="A141" s="76">
        <v>46113</v>
      </c>
      <c r="B141" s="108"/>
      <c r="C141" s="48"/>
      <c r="D141" s="48"/>
      <c r="E141" s="48"/>
      <c r="F141" s="95"/>
      <c r="G141" s="109"/>
      <c r="H141" s="109"/>
      <c r="I141" s="109"/>
      <c r="J141" s="109"/>
      <c r="K141" s="109"/>
      <c r="L141" s="48"/>
      <c r="M141" s="85"/>
      <c r="N141" s="94"/>
      <c r="O141" s="48"/>
      <c r="P141" s="69"/>
    </row>
    <row r="142" ht="25" customHeight="1" spans="1:16" x14ac:dyDescent="0.25">
      <c r="A142" s="135"/>
      <c r="B142" s="130"/>
      <c r="C142" s="127"/>
      <c r="D142" s="127"/>
      <c r="E142" s="127"/>
      <c r="F142" s="116"/>
      <c r="G142" s="131"/>
      <c r="H142" s="131"/>
      <c r="I142" s="131"/>
      <c r="J142" s="131"/>
      <c r="K142" s="131"/>
      <c r="L142" s="127"/>
      <c r="M142" s="134"/>
      <c r="N142" s="136"/>
      <c r="O142" s="127"/>
      <c r="P142" s="69"/>
    </row>
    <row r="143" ht="25" customHeight="1" spans="2:2" x14ac:dyDescent="0.25">
      <c r="B143" s="137"/>
    </row>
    <row r="144" ht="25" customHeight="1" spans="2:2" x14ac:dyDescent="0.25">
      <c r="B144" s="137"/>
    </row>
    <row r="145" ht="25" customHeight="1" spans="2:2" x14ac:dyDescent="0.25">
      <c r="B145" s="137"/>
    </row>
    <row r="146" ht="25" customHeight="1" spans="2:2" x14ac:dyDescent="0.25">
      <c r="B146" s="137"/>
    </row>
    <row r="147" ht="25" customHeight="1" spans="2:2" x14ac:dyDescent="0.25">
      <c r="B147" s="137"/>
    </row>
    <row r="148" ht="25" customHeight="1" spans="2:2" x14ac:dyDescent="0.25">
      <c r="B148" s="137"/>
    </row>
    <row r="149" ht="25" customHeight="1" spans="2:2" x14ac:dyDescent="0.25">
      <c r="B149" s="137"/>
    </row>
    <row r="150" ht="25" customHeight="1" spans="2:2" x14ac:dyDescent="0.25">
      <c r="B150" s="137"/>
    </row>
    <row r="151" ht="25" customHeight="1" spans="2:2" x14ac:dyDescent="0.25">
      <c r="B151" s="137"/>
    </row>
    <row r="152" ht="25" customHeight="1" spans="2:2" x14ac:dyDescent="0.25">
      <c r="B152" s="137"/>
    </row>
    <row r="153" ht="25" customHeight="1" spans="2:2" x14ac:dyDescent="0.25">
      <c r="B153" s="137"/>
    </row>
    <row r="154" ht="25" customHeight="1" spans="2:2" x14ac:dyDescent="0.25">
      <c r="B154" s="137"/>
    </row>
    <row r="155" ht="25" customHeight="1" spans="2:2" x14ac:dyDescent="0.25">
      <c r="B155" s="137"/>
    </row>
    <row r="156" ht="25" customHeight="1" spans="2:2" x14ac:dyDescent="0.25">
      <c r="B156" s="137"/>
    </row>
    <row r="157" ht="25" customHeight="1" spans="2:2" x14ac:dyDescent="0.25">
      <c r="B157" s="137"/>
    </row>
    <row r="158" ht="15" customHeight="1" spans="2:2" x14ac:dyDescent="0.25">
      <c r="B158" s="137"/>
    </row>
    <row r="159" ht="15" customHeight="1" spans="2:2" x14ac:dyDescent="0.25">
      <c r="B159" s="137"/>
    </row>
    <row r="160" ht="15" customHeight="1" spans="2:2" x14ac:dyDescent="0.25">
      <c r="B160" s="137"/>
    </row>
    <row r="161" ht="15" customHeight="1" spans="2:2" x14ac:dyDescent="0.25">
      <c r="B161" s="137"/>
    </row>
    <row r="162" ht="15" customHeight="1" spans="2:2" x14ac:dyDescent="0.25">
      <c r="B162" s="137"/>
    </row>
    <row r="163" ht="15" customHeight="1" spans="2:2" x14ac:dyDescent="0.25">
      <c r="B163" s="137"/>
    </row>
    <row r="164" ht="15" customHeight="1" spans="2:2" x14ac:dyDescent="0.25">
      <c r="B164" s="137"/>
    </row>
    <row r="165" ht="15" customHeight="1" spans="2:2" x14ac:dyDescent="0.25">
      <c r="B165" s="137"/>
    </row>
    <row r="166" ht="15" customHeight="1" spans="2:2" x14ac:dyDescent="0.25">
      <c r="B166" s="137"/>
    </row>
    <row r="167" ht="15" customHeight="1" spans="2:2" x14ac:dyDescent="0.25">
      <c r="B167" s="137"/>
    </row>
    <row r="168" ht="15" customHeight="1" spans="2:2" x14ac:dyDescent="0.25">
      <c r="B168" s="137"/>
    </row>
    <row r="169" ht="15" customHeight="1" spans="2:2" x14ac:dyDescent="0.25">
      <c r="B169" s="137"/>
    </row>
    <row r="170" ht="15" customHeight="1" spans="2:2" x14ac:dyDescent="0.25">
      <c r="B170" s="137"/>
    </row>
    <row r="171" ht="15" customHeight="1" spans="2:2" x14ac:dyDescent="0.25">
      <c r="B171" s="137"/>
    </row>
    <row r="172" ht="15" customHeight="1" spans="2:2" x14ac:dyDescent="0.25">
      <c r="B172" s="137"/>
    </row>
    <row r="173" ht="15" customHeight="1" spans="2:2" x14ac:dyDescent="0.25">
      <c r="B173" s="137"/>
    </row>
    <row r="174" ht="15" customHeight="1" spans="2:2" x14ac:dyDescent="0.25">
      <c r="B174" s="137"/>
    </row>
    <row r="175" ht="15" customHeight="1" spans="2:2" x14ac:dyDescent="0.25">
      <c r="B175" s="137"/>
    </row>
    <row r="176" spans="1:21" x14ac:dyDescent="0.25">
      <c r="A176" t="s">
        <v>257</v>
      </c>
      <c r="B176" t="s">
        <v>258</v>
      </c>
      <c r="C176" t="s">
        <v>189</v>
      </c>
      <c r="D176" t="s">
        <v>190</v>
      </c>
      <c r="E176" t="s">
        <v>110</v>
      </c>
      <c r="F176">
        <v>4187.38</v>
      </c>
      <c r="G176">
        <v>6394.29</v>
      </c>
      <c r="H176" t="s">
        <v>257</v>
      </c>
      <c r="I176" s="35" t="s">
        <v>257</v>
      </c>
      <c r="J176">
        <v>2206.91</v>
      </c>
      <c r="K176" t="s">
        <v>257</v>
      </c>
      <c r="L176" t="s">
        <v>257</v>
      </c>
      <c r="M176" t="s">
        <v>257</v>
      </c>
      <c r="N176" t="s">
        <v>259</v>
      </c>
      <c r="O176" t="s">
        <v>257</v>
      </c>
      <c r="P176" t="s">
        <v>257</v>
      </c>
      <c r="Q176" t="s">
        <v>257</v>
      </c>
      <c r="R176" t="s">
        <v>257</v>
      </c>
      <c r="S176" t="s">
        <v>257</v>
      </c>
      <c r="T176" t="s">
        <v>257</v>
      </c>
      <c r="U176" t="s">
        <v>257</v>
      </c>
    </row>
    <row r="177" spans="1:21" x14ac:dyDescent="0.25">
      <c r="A177" t="s">
        <v>257</v>
      </c>
      <c r="B177" t="s">
        <v>260</v>
      </c>
      <c r="C177" t="s">
        <v>187</v>
      </c>
      <c r="D177" t="s">
        <v>119</v>
      </c>
      <c r="E177" t="s">
        <v>106</v>
      </c>
      <c r="F177">
        <v>2850.71</v>
      </c>
      <c r="G177">
        <v>5375</v>
      </c>
      <c r="H177" t="s">
        <v>257</v>
      </c>
      <c r="I177" s="35" t="s">
        <v>257</v>
      </c>
      <c r="J177">
        <v>2524.29</v>
      </c>
      <c r="K177" t="s">
        <v>257</v>
      </c>
      <c r="L177" t="s">
        <v>257</v>
      </c>
      <c r="M177" t="s">
        <v>257</v>
      </c>
      <c r="N177" t="s">
        <v>261</v>
      </c>
      <c r="O177" t="s">
        <v>257</v>
      </c>
      <c r="P177" t="s">
        <v>257</v>
      </c>
      <c r="Q177" t="s">
        <v>257</v>
      </c>
      <c r="R177" t="s">
        <v>257</v>
      </c>
      <c r="S177" t="s">
        <v>257</v>
      </c>
      <c r="T177" t="s">
        <v>257</v>
      </c>
      <c r="U177" t="s">
        <v>257</v>
      </c>
    </row>
    <row r="178" spans="1:21" x14ac:dyDescent="0.25">
      <c r="A178" t="s">
        <v>257</v>
      </c>
      <c r="B178" t="s">
        <v>262</v>
      </c>
      <c r="C178" t="s">
        <v>185</v>
      </c>
      <c r="D178" t="s">
        <v>186</v>
      </c>
      <c r="E178" t="s">
        <v>113</v>
      </c>
      <c r="F178">
        <v>5732.32</v>
      </c>
      <c r="G178">
        <v>7995</v>
      </c>
      <c r="H178" t="s">
        <v>257</v>
      </c>
      <c r="I178" s="35" t="s">
        <v>257</v>
      </c>
      <c r="J178">
        <v>2262.6800000000003</v>
      </c>
      <c r="K178" t="s">
        <v>257</v>
      </c>
      <c r="L178" t="s">
        <v>257</v>
      </c>
      <c r="M178" t="s">
        <v>257</v>
      </c>
      <c r="N178" t="s">
        <v>263</v>
      </c>
      <c r="O178" t="s">
        <v>257</v>
      </c>
      <c r="P178" t="s">
        <v>257</v>
      </c>
      <c r="Q178" t="s">
        <v>257</v>
      </c>
      <c r="R178" t="s">
        <v>257</v>
      </c>
      <c r="S178" t="s">
        <v>257</v>
      </c>
      <c r="T178" t="s">
        <v>257</v>
      </c>
      <c r="U178" t="s">
        <v>257</v>
      </c>
    </row>
    <row r="179" spans="1:21" x14ac:dyDescent="0.25">
      <c r="A179" t="s">
        <v>257</v>
      </c>
      <c r="B179" t="s">
        <v>264</v>
      </c>
      <c r="C179" t="s">
        <v>183</v>
      </c>
      <c r="D179" t="s">
        <v>184</v>
      </c>
      <c r="E179" t="s">
        <v>107</v>
      </c>
      <c r="F179">
        <v>8246.15</v>
      </c>
      <c r="G179">
        <v>6500</v>
      </c>
      <c r="H179" t="s">
        <v>257</v>
      </c>
      <c r="I179" s="35" t="s">
        <v>257</v>
      </c>
      <c r="J179">
        <v>-1746.1499999999996</v>
      </c>
      <c r="K179" t="s">
        <v>257</v>
      </c>
      <c r="L179" t="s">
        <v>257</v>
      </c>
      <c r="M179" t="s">
        <v>257</v>
      </c>
      <c r="N179" t="s">
        <v>265</v>
      </c>
      <c r="O179" t="s">
        <v>257</v>
      </c>
      <c r="P179" t="s">
        <v>257</v>
      </c>
      <c r="Q179" t="s">
        <v>257</v>
      </c>
      <c r="R179" t="s">
        <v>257</v>
      </c>
      <c r="S179" t="s">
        <v>257</v>
      </c>
      <c r="T179" t="s">
        <v>257</v>
      </c>
      <c r="U179" t="s">
        <v>257</v>
      </c>
    </row>
    <row r="180" spans="1:21" x14ac:dyDescent="0.25">
      <c r="A180" t="s">
        <v>257</v>
      </c>
      <c r="B180" t="s">
        <v>266</v>
      </c>
      <c r="C180" t="s">
        <v>179</v>
      </c>
      <c r="D180" t="s">
        <v>180</v>
      </c>
      <c r="E180" t="s">
        <v>107</v>
      </c>
      <c r="F180">
        <v>1328.74</v>
      </c>
      <c r="G180">
        <v>2000</v>
      </c>
      <c r="H180" t="s">
        <v>257</v>
      </c>
      <c r="I180" s="35" t="s">
        <v>257</v>
      </c>
      <c r="J180">
        <v>671.26</v>
      </c>
      <c r="K180" t="s">
        <v>257</v>
      </c>
      <c r="L180" t="s">
        <v>257</v>
      </c>
      <c r="M180" t="s">
        <v>257</v>
      </c>
      <c r="N180" t="s">
        <v>267</v>
      </c>
      <c r="O180" t="s">
        <v>257</v>
      </c>
      <c r="P180" t="s">
        <v>257</v>
      </c>
      <c r="Q180" t="s">
        <v>257</v>
      </c>
      <c r="R180" t="s">
        <v>257</v>
      </c>
      <c r="S180" t="s">
        <v>257</v>
      </c>
      <c r="T180" t="s">
        <v>257</v>
      </c>
      <c r="U180" t="s">
        <v>257</v>
      </c>
    </row>
    <row r="181" spans="1:21" x14ac:dyDescent="0.25">
      <c r="A181" t="s">
        <v>257</v>
      </c>
      <c r="B181" t="s">
        <v>268</v>
      </c>
      <c r="C181" t="s">
        <v>177</v>
      </c>
      <c r="D181" t="s">
        <v>178</v>
      </c>
      <c r="E181" t="s">
        <v>107</v>
      </c>
      <c r="F181">
        <v>8361.51</v>
      </c>
      <c r="G181">
        <v>8295</v>
      </c>
      <c r="H181" t="s">
        <v>257</v>
      </c>
      <c r="I181" s="35" t="s">
        <v>257</v>
      </c>
      <c r="J181">
        <v>-66.51000000000022</v>
      </c>
      <c r="K181" t="s">
        <v>257</v>
      </c>
      <c r="L181" t="s">
        <v>257</v>
      </c>
      <c r="M181" t="s">
        <v>257</v>
      </c>
      <c r="N181" t="s">
        <v>266</v>
      </c>
      <c r="O181" t="s">
        <v>257</v>
      </c>
      <c r="P181" t="s">
        <v>257</v>
      </c>
      <c r="Q181" t="s">
        <v>257</v>
      </c>
      <c r="R181" t="s">
        <v>257</v>
      </c>
      <c r="S181" t="s">
        <v>257</v>
      </c>
      <c r="T181" t="s">
        <v>257</v>
      </c>
      <c r="U181" t="s">
        <v>257</v>
      </c>
    </row>
    <row r="182" spans="1:21" x14ac:dyDescent="0.25">
      <c r="A182" t="s">
        <v>257</v>
      </c>
      <c r="B182" t="s">
        <v>269</v>
      </c>
      <c r="C182" t="s">
        <v>176</v>
      </c>
      <c r="D182" t="s">
        <v>131</v>
      </c>
      <c r="E182" t="s">
        <v>129</v>
      </c>
      <c r="F182">
        <v>4390.79</v>
      </c>
      <c r="G182">
        <v>7250</v>
      </c>
      <c r="H182" t="s">
        <v>257</v>
      </c>
      <c r="I182" s="35" t="s">
        <v>257</v>
      </c>
      <c r="J182">
        <v>2859.21</v>
      </c>
      <c r="K182" t="s">
        <v>257</v>
      </c>
      <c r="L182" t="s">
        <v>257</v>
      </c>
      <c r="M182" t="s">
        <v>257</v>
      </c>
      <c r="N182" t="s">
        <v>270</v>
      </c>
      <c r="O182" t="s">
        <v>257</v>
      </c>
      <c r="P182" t="s">
        <v>257</v>
      </c>
      <c r="Q182" t="s">
        <v>257</v>
      </c>
      <c r="R182" t="s">
        <v>257</v>
      </c>
      <c r="S182" t="s">
        <v>257</v>
      </c>
      <c r="T182" t="s">
        <v>257</v>
      </c>
      <c r="U182" t="s">
        <v>257</v>
      </c>
    </row>
    <row r="183" spans="1:21" x14ac:dyDescent="0.25">
      <c r="A183" t="s">
        <v>257</v>
      </c>
      <c r="B183" t="s">
        <v>257</v>
      </c>
      <c r="C183" t="s">
        <v>174</v>
      </c>
      <c r="D183" t="s">
        <v>175</v>
      </c>
      <c r="E183" t="s">
        <v>107</v>
      </c>
      <c r="F183">
        <v>5253.02</v>
      </c>
      <c r="G183">
        <v>8995</v>
      </c>
      <c r="H183" t="s">
        <v>257</v>
      </c>
      <c r="I183" s="35" t="s">
        <v>257</v>
      </c>
      <c r="J183">
        <v>3741.9799999999996</v>
      </c>
      <c r="K183" t="s">
        <v>257</v>
      </c>
      <c r="L183" t="s">
        <v>257</v>
      </c>
      <c r="M183" t="s">
        <v>257</v>
      </c>
      <c r="N183" t="s">
        <v>271</v>
      </c>
      <c r="O183" t="s">
        <v>257</v>
      </c>
      <c r="P183" t="s">
        <v>257</v>
      </c>
      <c r="Q183" t="s">
        <v>257</v>
      </c>
      <c r="R183" t="s">
        <v>257</v>
      </c>
      <c r="S183" t="s">
        <v>257</v>
      </c>
      <c r="T183" t="s">
        <v>257</v>
      </c>
      <c r="U183" t="s">
        <v>257</v>
      </c>
    </row>
    <row r="184" spans="1:21" x14ac:dyDescent="0.25">
      <c r="A184" t="s">
        <v>257</v>
      </c>
      <c r="B184" t="s">
        <v>257</v>
      </c>
      <c r="C184" t="s">
        <v>172</v>
      </c>
      <c r="D184" t="s">
        <v>173</v>
      </c>
      <c r="E184" t="s">
        <v>107</v>
      </c>
      <c r="F184">
        <v>6541.12</v>
      </c>
      <c r="G184">
        <v>8495</v>
      </c>
      <c r="H184" t="s">
        <v>257</v>
      </c>
      <c r="I184" s="35" t="s">
        <v>257</v>
      </c>
      <c r="J184">
        <v>1953.88</v>
      </c>
      <c r="K184" t="s">
        <v>257</v>
      </c>
      <c r="L184" t="s">
        <v>257</v>
      </c>
      <c r="M184" t="s">
        <v>257</v>
      </c>
      <c r="N184" t="s">
        <v>272</v>
      </c>
      <c r="O184" t="s">
        <v>257</v>
      </c>
      <c r="P184" t="s">
        <v>257</v>
      </c>
      <c r="Q184" t="s">
        <v>257</v>
      </c>
      <c r="R184" t="s">
        <v>257</v>
      </c>
      <c r="S184" t="s">
        <v>257</v>
      </c>
      <c r="T184" t="s">
        <v>257</v>
      </c>
      <c r="U184" t="s">
        <v>257</v>
      </c>
    </row>
    <row r="185" spans="1:21" x14ac:dyDescent="0.25">
      <c r="A185" t="s">
        <v>257</v>
      </c>
      <c r="B185" t="s">
        <v>257</v>
      </c>
      <c r="C185" t="s">
        <v>169</v>
      </c>
      <c r="D185" t="s">
        <v>170</v>
      </c>
      <c r="E185" t="s">
        <v>113</v>
      </c>
      <c r="F185">
        <v>5494.46</v>
      </c>
      <c r="G185">
        <v>8995</v>
      </c>
      <c r="H185" t="s">
        <v>257</v>
      </c>
      <c r="I185" s="35" t="s">
        <v>257</v>
      </c>
      <c r="J185">
        <v>3500.54</v>
      </c>
      <c r="K185" t="s">
        <v>257</v>
      </c>
      <c r="L185" t="s">
        <v>257</v>
      </c>
      <c r="M185" t="s">
        <v>257</v>
      </c>
      <c r="N185" t="s">
        <v>273</v>
      </c>
      <c r="O185" t="s">
        <v>257</v>
      </c>
      <c r="P185" t="s">
        <v>257</v>
      </c>
      <c r="Q185" t="s">
        <v>257</v>
      </c>
      <c r="R185" t="s">
        <v>257</v>
      </c>
      <c r="S185" t="s">
        <v>257</v>
      </c>
      <c r="T185" t="s">
        <v>257</v>
      </c>
      <c r="U185" t="s">
        <v>257</v>
      </c>
    </row>
    <row r="186" spans="1:21" x14ac:dyDescent="0.25">
      <c r="A186" t="s">
        <v>257</v>
      </c>
      <c r="B186" t="s">
        <v>257</v>
      </c>
      <c r="C186" t="s">
        <v>171</v>
      </c>
      <c r="D186" t="s">
        <v>122</v>
      </c>
      <c r="E186" t="s">
        <v>107</v>
      </c>
      <c r="F186">
        <v>2639.28</v>
      </c>
      <c r="G186">
        <v>3595</v>
      </c>
      <c r="H186" t="s">
        <v>257</v>
      </c>
      <c r="I186" s="35" t="s">
        <v>257</v>
      </c>
      <c r="J186">
        <v>955.7199999999998</v>
      </c>
      <c r="K186" t="s">
        <v>257</v>
      </c>
      <c r="L186" t="s">
        <v>257</v>
      </c>
      <c r="M186" t="s">
        <v>257</v>
      </c>
      <c r="N186" t="s">
        <v>273</v>
      </c>
      <c r="O186" t="s">
        <v>257</v>
      </c>
      <c r="P186" t="s">
        <v>257</v>
      </c>
      <c r="Q186" t="s">
        <v>257</v>
      </c>
      <c r="R186" t="s">
        <v>257</v>
      </c>
      <c r="S186" t="s">
        <v>257</v>
      </c>
      <c r="T186" t="s">
        <v>257</v>
      </c>
      <c r="U186" t="s">
        <v>257</v>
      </c>
    </row>
    <row r="187" spans="1:21" x14ac:dyDescent="0.25">
      <c r="A187" t="s">
        <v>257</v>
      </c>
      <c r="B187" t="s">
        <v>257</v>
      </c>
      <c r="C187" t="s">
        <v>167</v>
      </c>
      <c r="D187" t="s">
        <v>168</v>
      </c>
      <c r="E187" t="s">
        <v>129</v>
      </c>
      <c r="F187">
        <v>6270.68</v>
      </c>
      <c r="G187">
        <v>8400</v>
      </c>
      <c r="H187" t="s">
        <v>257</v>
      </c>
      <c r="I187" s="35" t="s">
        <v>257</v>
      </c>
      <c r="J187">
        <v>2129.3199999999997</v>
      </c>
      <c r="K187" t="s">
        <v>257</v>
      </c>
      <c r="L187" t="s">
        <v>257</v>
      </c>
      <c r="M187" t="s">
        <v>257</v>
      </c>
      <c r="N187" t="s">
        <v>274</v>
      </c>
      <c r="O187" t="s">
        <v>257</v>
      </c>
      <c r="P187" t="s">
        <v>257</v>
      </c>
      <c r="Q187" t="s">
        <v>257</v>
      </c>
      <c r="R187" t="s">
        <v>257</v>
      </c>
      <c r="S187" t="s">
        <v>257</v>
      </c>
      <c r="T187" t="s">
        <v>257</v>
      </c>
      <c r="U187" t="s">
        <v>257</v>
      </c>
    </row>
    <row r="188" spans="1:21" x14ac:dyDescent="0.25">
      <c r="A188" t="s">
        <v>257</v>
      </c>
      <c r="B188" t="s">
        <v>257</v>
      </c>
      <c r="C188" t="s">
        <v>133</v>
      </c>
      <c r="D188" t="s">
        <v>134</v>
      </c>
      <c r="E188" t="s">
        <v>135</v>
      </c>
      <c r="F188">
        <v>5975.85</v>
      </c>
      <c r="G188">
        <v>7400</v>
      </c>
      <c r="H188" t="s">
        <v>257</v>
      </c>
      <c r="I188" s="35" t="s">
        <v>257</v>
      </c>
      <c r="J188">
        <v>1424.1499999999996</v>
      </c>
      <c r="K188" t="s">
        <v>257</v>
      </c>
      <c r="L188" t="s">
        <v>257</v>
      </c>
      <c r="M188" t="s">
        <v>257</v>
      </c>
      <c r="N188" t="s">
        <v>275</v>
      </c>
      <c r="O188" t="s">
        <v>257</v>
      </c>
      <c r="P188" t="s">
        <v>257</v>
      </c>
      <c r="Q188" t="s">
        <v>257</v>
      </c>
      <c r="R188" t="s">
        <v>257</v>
      </c>
      <c r="S188" t="s">
        <v>257</v>
      </c>
      <c r="T188" t="s">
        <v>257</v>
      </c>
      <c r="U188" t="s">
        <v>257</v>
      </c>
    </row>
    <row r="189" spans="1:21" x14ac:dyDescent="0.25">
      <c r="A189" t="s">
        <v>257</v>
      </c>
      <c r="B189" t="s">
        <v>257</v>
      </c>
      <c r="C189" t="s">
        <v>137</v>
      </c>
      <c r="D189" t="s">
        <v>138</v>
      </c>
      <c r="E189" t="s">
        <v>107</v>
      </c>
      <c r="F189">
        <v>0</v>
      </c>
      <c r="G189">
        <v>500</v>
      </c>
      <c r="H189" t="s">
        <v>257</v>
      </c>
      <c r="I189" s="35" t="s">
        <v>257</v>
      </c>
      <c r="J189">
        <v>500</v>
      </c>
      <c r="K189" t="s">
        <v>257</v>
      </c>
      <c r="L189" t="s">
        <v>257</v>
      </c>
      <c r="M189" t="s">
        <v>257</v>
      </c>
      <c r="N189" t="s">
        <v>275</v>
      </c>
      <c r="O189" t="s">
        <v>257</v>
      </c>
      <c r="P189" t="s">
        <v>257</v>
      </c>
      <c r="Q189" t="s">
        <v>257</v>
      </c>
      <c r="R189" t="s">
        <v>257</v>
      </c>
      <c r="S189" t="s">
        <v>257</v>
      </c>
      <c r="T189" t="s">
        <v>257</v>
      </c>
      <c r="U189" t="s">
        <v>257</v>
      </c>
    </row>
    <row r="190" spans="1:21" x14ac:dyDescent="0.25">
      <c r="A190" t="s">
        <v>257</v>
      </c>
      <c r="B190" t="s">
        <v>257</v>
      </c>
      <c r="C190" t="s">
        <v>132</v>
      </c>
      <c r="D190" t="s">
        <v>94</v>
      </c>
      <c r="E190" t="s">
        <v>113</v>
      </c>
      <c r="F190">
        <v>2576</v>
      </c>
      <c r="G190">
        <v>3900</v>
      </c>
      <c r="H190" t="s">
        <v>257</v>
      </c>
      <c r="I190" s="35" t="s">
        <v>257</v>
      </c>
      <c r="J190">
        <v>1324</v>
      </c>
      <c r="K190" t="s">
        <v>257</v>
      </c>
      <c r="L190" t="s">
        <v>257</v>
      </c>
      <c r="M190" t="s">
        <v>257</v>
      </c>
      <c r="N190" t="s">
        <v>276</v>
      </c>
      <c r="O190" t="s">
        <v>257</v>
      </c>
      <c r="P190" t="s">
        <v>257</v>
      </c>
      <c r="Q190" t="s">
        <v>257</v>
      </c>
      <c r="R190" t="s">
        <v>257</v>
      </c>
      <c r="S190" t="s">
        <v>257</v>
      </c>
      <c r="T190" t="s">
        <v>257</v>
      </c>
      <c r="U190" t="s">
        <v>257</v>
      </c>
    </row>
    <row r="191" spans="1:21" x14ac:dyDescent="0.25">
      <c r="A191" t="s">
        <v>257</v>
      </c>
      <c r="B191" t="s">
        <v>257</v>
      </c>
      <c r="C191" t="s">
        <v>130</v>
      </c>
      <c r="D191" t="s">
        <v>131</v>
      </c>
      <c r="E191" t="s">
        <v>113</v>
      </c>
      <c r="F191">
        <v>5477.23</v>
      </c>
      <c r="G191">
        <v>7250</v>
      </c>
      <c r="H191" t="s">
        <v>257</v>
      </c>
      <c r="I191" s="35" t="s">
        <v>257</v>
      </c>
      <c r="J191">
        <v>1772.7700000000004</v>
      </c>
      <c r="K191" t="s">
        <v>257</v>
      </c>
      <c r="L191" t="s">
        <v>257</v>
      </c>
      <c r="M191" t="s">
        <v>257</v>
      </c>
      <c r="N191" t="s">
        <v>262</v>
      </c>
      <c r="O191" t="s">
        <v>257</v>
      </c>
      <c r="P191" t="s">
        <v>257</v>
      </c>
      <c r="Q191" t="s">
        <v>257</v>
      </c>
      <c r="R191" t="s">
        <v>257</v>
      </c>
      <c r="S191" t="s">
        <v>257</v>
      </c>
      <c r="T191" t="s">
        <v>257</v>
      </c>
      <c r="U191" t="s">
        <v>257</v>
      </c>
    </row>
    <row r="192" spans="1:21" x14ac:dyDescent="0.25">
      <c r="A192" t="s">
        <v>257</v>
      </c>
      <c r="B192" t="s">
        <v>257</v>
      </c>
      <c r="C192" t="s">
        <v>127</v>
      </c>
      <c r="D192" t="s">
        <v>128</v>
      </c>
      <c r="E192" t="s">
        <v>129</v>
      </c>
      <c r="F192">
        <v>5437.63</v>
      </c>
      <c r="G192">
        <v>8602</v>
      </c>
      <c r="H192" t="s">
        <v>257</v>
      </c>
      <c r="I192" s="35" t="s">
        <v>257</v>
      </c>
      <c r="J192">
        <v>3164.37</v>
      </c>
      <c r="K192" t="s">
        <v>257</v>
      </c>
      <c r="L192" t="s">
        <v>257</v>
      </c>
      <c r="M192" t="s">
        <v>257</v>
      </c>
      <c r="N192" t="s">
        <v>277</v>
      </c>
      <c r="O192" t="s">
        <v>257</v>
      </c>
      <c r="P192" t="s">
        <v>257</v>
      </c>
      <c r="Q192" t="s">
        <v>257</v>
      </c>
      <c r="R192" t="s">
        <v>257</v>
      </c>
      <c r="S192" t="s">
        <v>257</v>
      </c>
      <c r="T192" t="s">
        <v>257</v>
      </c>
      <c r="U192" t="s">
        <v>257</v>
      </c>
    </row>
    <row r="193" spans="1:21" x14ac:dyDescent="0.25">
      <c r="A193" t="s">
        <v>257</v>
      </c>
      <c r="B193" t="s">
        <v>257</v>
      </c>
      <c r="C193" t="s">
        <v>126</v>
      </c>
      <c r="D193" t="s">
        <v>78</v>
      </c>
      <c r="E193" t="s">
        <v>125</v>
      </c>
      <c r="F193">
        <v>3949.3500000000004</v>
      </c>
      <c r="G193">
        <v>5795</v>
      </c>
      <c r="H193" t="s">
        <v>257</v>
      </c>
      <c r="I193" s="35" t="s">
        <v>257</v>
      </c>
      <c r="J193">
        <v>1845.6499999999996</v>
      </c>
      <c r="K193" t="s">
        <v>257</v>
      </c>
      <c r="L193" t="s">
        <v>257</v>
      </c>
      <c r="M193" t="s">
        <v>257</v>
      </c>
      <c r="N193" t="s">
        <v>278</v>
      </c>
      <c r="O193" t="s">
        <v>257</v>
      </c>
      <c r="P193" t="s">
        <v>257</v>
      </c>
      <c r="Q193" t="s">
        <v>257</v>
      </c>
      <c r="R193" t="s">
        <v>257</v>
      </c>
      <c r="S193" t="s">
        <v>257</v>
      </c>
      <c r="T193" t="s">
        <v>257</v>
      </c>
      <c r="U193" t="s">
        <v>257</v>
      </c>
    </row>
    <row r="194" spans="1:21" x14ac:dyDescent="0.25">
      <c r="A194" t="s">
        <v>257</v>
      </c>
      <c r="B194" t="s">
        <v>257</v>
      </c>
      <c r="C194" t="s">
        <v>118</v>
      </c>
      <c r="D194" t="s">
        <v>119</v>
      </c>
      <c r="E194" t="s">
        <v>107</v>
      </c>
      <c r="F194">
        <v>2421.85</v>
      </c>
      <c r="G194">
        <v>2989.66</v>
      </c>
      <c r="H194" t="s">
        <v>257</v>
      </c>
      <c r="I194" s="35" t="s">
        <v>257</v>
      </c>
      <c r="J194">
        <v>567.81</v>
      </c>
      <c r="K194" t="s">
        <v>257</v>
      </c>
      <c r="L194" t="s">
        <v>257</v>
      </c>
      <c r="M194" t="s">
        <v>257</v>
      </c>
      <c r="N194" t="s">
        <v>279</v>
      </c>
      <c r="O194" t="s">
        <v>257</v>
      </c>
      <c r="P194" t="s">
        <v>257</v>
      </c>
      <c r="Q194" t="s">
        <v>257</v>
      </c>
      <c r="R194" t="s">
        <v>257</v>
      </c>
      <c r="S194" t="s">
        <v>257</v>
      </c>
      <c r="T194" t="s">
        <v>257</v>
      </c>
      <c r="U194" t="s">
        <v>257</v>
      </c>
    </row>
    <row r="195" spans="1:21" x14ac:dyDescent="0.25">
      <c r="A195" t="s">
        <v>257</v>
      </c>
      <c r="B195" t="s">
        <v>257</v>
      </c>
      <c r="C195" t="s">
        <v>120</v>
      </c>
      <c r="D195" t="s">
        <v>65</v>
      </c>
      <c r="E195" t="s">
        <v>107</v>
      </c>
      <c r="F195">
        <v>3651.52</v>
      </c>
      <c r="G195">
        <v>3550</v>
      </c>
      <c r="H195" t="s">
        <v>257</v>
      </c>
      <c r="I195" s="35" t="s">
        <v>257</v>
      </c>
      <c r="J195">
        <v>-101.51999999999998</v>
      </c>
      <c r="K195" t="s">
        <v>257</v>
      </c>
      <c r="L195" t="s">
        <v>257</v>
      </c>
      <c r="M195" t="s">
        <v>257</v>
      </c>
      <c r="N195" t="s">
        <v>279</v>
      </c>
      <c r="O195" t="s">
        <v>257</v>
      </c>
      <c r="P195" t="s">
        <v>257</v>
      </c>
      <c r="Q195" t="s">
        <v>257</v>
      </c>
      <c r="R195" t="s">
        <v>257</v>
      </c>
      <c r="S195" t="s">
        <v>257</v>
      </c>
      <c r="T195" t="s">
        <v>257</v>
      </c>
      <c r="U195" t="s">
        <v>257</v>
      </c>
    </row>
    <row r="196" spans="1:21" x14ac:dyDescent="0.25">
      <c r="A196" t="s">
        <v>257</v>
      </c>
      <c r="B196" t="s">
        <v>257</v>
      </c>
      <c r="C196" t="s">
        <v>116</v>
      </c>
      <c r="D196" t="s">
        <v>81</v>
      </c>
      <c r="E196" t="s">
        <v>107</v>
      </c>
      <c r="F196">
        <v>3149.04</v>
      </c>
      <c r="G196">
        <v>3795</v>
      </c>
      <c r="H196" t="s">
        <v>257</v>
      </c>
      <c r="I196" s="35" t="s">
        <v>257</v>
      </c>
      <c r="J196">
        <v>645.96</v>
      </c>
      <c r="K196" t="s">
        <v>257</v>
      </c>
      <c r="L196" t="s">
        <v>257</v>
      </c>
      <c r="M196" t="s">
        <v>257</v>
      </c>
      <c r="N196" t="s">
        <v>280</v>
      </c>
      <c r="O196" t="s">
        <v>257</v>
      </c>
      <c r="P196" t="s">
        <v>257</v>
      </c>
      <c r="Q196" t="s">
        <v>257</v>
      </c>
      <c r="R196" t="s">
        <v>257</v>
      </c>
      <c r="S196" t="s">
        <v>257</v>
      </c>
      <c r="T196" t="s">
        <v>257</v>
      </c>
      <c r="U196" t="s">
        <v>257</v>
      </c>
    </row>
    <row r="197" spans="1:21" x14ac:dyDescent="0.25">
      <c r="A197" t="s">
        <v>257</v>
      </c>
      <c r="B197" t="s">
        <v>257</v>
      </c>
      <c r="C197" t="s">
        <v>121</v>
      </c>
      <c r="D197" t="s">
        <v>122</v>
      </c>
      <c r="E197" t="s">
        <v>110</v>
      </c>
      <c r="F197">
        <v>2386.87</v>
      </c>
      <c r="G197">
        <v>4695</v>
      </c>
      <c r="H197" t="s">
        <v>257</v>
      </c>
      <c r="I197" s="35" t="s">
        <v>257</v>
      </c>
      <c r="J197">
        <v>2308.13</v>
      </c>
      <c r="K197" t="s">
        <v>257</v>
      </c>
      <c r="L197" t="s">
        <v>257</v>
      </c>
      <c r="M197" t="s">
        <v>257</v>
      </c>
      <c r="N197" t="s">
        <v>280</v>
      </c>
      <c r="O197" t="s">
        <v>257</v>
      </c>
      <c r="P197" t="s">
        <v>257</v>
      </c>
      <c r="Q197" t="s">
        <v>257</v>
      </c>
      <c r="R197" t="s">
        <v>257</v>
      </c>
      <c r="S197" t="s">
        <v>257</v>
      </c>
      <c r="T197" t="s">
        <v>257</v>
      </c>
      <c r="U197" t="s">
        <v>257</v>
      </c>
    </row>
    <row r="198" spans="1:21" x14ac:dyDescent="0.25">
      <c r="A198" t="s">
        <v>257</v>
      </c>
      <c r="B198" t="s">
        <v>257</v>
      </c>
      <c r="C198" t="s">
        <v>123</v>
      </c>
      <c r="D198" t="s">
        <v>124</v>
      </c>
      <c r="E198" t="s">
        <v>125</v>
      </c>
      <c r="F198">
        <v>3516.24</v>
      </c>
      <c r="G198">
        <v>5591.61</v>
      </c>
      <c r="H198" t="s">
        <v>257</v>
      </c>
      <c r="I198" s="35" t="s">
        <v>257</v>
      </c>
      <c r="J198">
        <v>2075.37</v>
      </c>
      <c r="K198" t="s">
        <v>257</v>
      </c>
      <c r="L198" t="s">
        <v>257</v>
      </c>
      <c r="M198" t="s">
        <v>257</v>
      </c>
      <c r="N198" t="s">
        <v>280</v>
      </c>
      <c r="O198" t="s">
        <v>257</v>
      </c>
      <c r="P198" t="s">
        <v>257</v>
      </c>
      <c r="Q198" t="s">
        <v>257</v>
      </c>
      <c r="R198" t="s">
        <v>257</v>
      </c>
      <c r="S198" t="s">
        <v>257</v>
      </c>
      <c r="T198" t="s">
        <v>257</v>
      </c>
      <c r="U198" t="s">
        <v>257</v>
      </c>
    </row>
    <row r="199" spans="1:21" x14ac:dyDescent="0.25">
      <c r="A199" t="s">
        <v>257</v>
      </c>
      <c r="B199" t="s">
        <v>257</v>
      </c>
      <c r="C199" t="s">
        <v>115</v>
      </c>
      <c r="D199" t="s">
        <v>86</v>
      </c>
      <c r="E199" t="s">
        <v>113</v>
      </c>
      <c r="F199">
        <v>5243.21</v>
      </c>
      <c r="G199">
        <v>6795</v>
      </c>
      <c r="H199" t="s">
        <v>257</v>
      </c>
      <c r="I199" s="35" t="s">
        <v>257</v>
      </c>
      <c r="J199">
        <v>1551.79</v>
      </c>
      <c r="K199" t="s">
        <v>257</v>
      </c>
      <c r="L199" t="s">
        <v>257</v>
      </c>
      <c r="M199" t="s">
        <v>257</v>
      </c>
      <c r="N199" t="s">
        <v>281</v>
      </c>
      <c r="O199" t="s">
        <v>257</v>
      </c>
      <c r="P199" t="s">
        <v>257</v>
      </c>
      <c r="Q199" t="s">
        <v>257</v>
      </c>
      <c r="R199" t="s">
        <v>257</v>
      </c>
      <c r="S199" t="s">
        <v>257</v>
      </c>
      <c r="T199" t="s">
        <v>257</v>
      </c>
      <c r="U199" t="s">
        <v>257</v>
      </c>
    </row>
    <row r="200" spans="1:21" x14ac:dyDescent="0.25">
      <c r="A200" t="s">
        <v>257</v>
      </c>
      <c r="B200" t="s">
        <v>282</v>
      </c>
      <c r="C200" t="s">
        <v>104</v>
      </c>
      <c r="D200" t="s">
        <v>105</v>
      </c>
      <c r="E200" t="s">
        <v>106</v>
      </c>
      <c r="F200">
        <v>6035.869999999998</v>
      </c>
      <c r="G200">
        <v>6300</v>
      </c>
      <c r="H200" t="s">
        <v>257</v>
      </c>
      <c r="I200" s="35" t="s">
        <v>257</v>
      </c>
      <c r="J200">
        <v>264.1300000000019</v>
      </c>
      <c r="K200" t="s">
        <v>257</v>
      </c>
      <c r="L200" t="s">
        <v>257</v>
      </c>
      <c r="M200" t="s">
        <v>257</v>
      </c>
      <c r="N200" t="s">
        <v>283</v>
      </c>
      <c r="O200" t="s">
        <v>257</v>
      </c>
      <c r="P200" t="s">
        <v>257</v>
      </c>
      <c r="Q200" t="s">
        <v>257</v>
      </c>
      <c r="R200" t="s">
        <v>257</v>
      </c>
      <c r="S200" t="s">
        <v>257</v>
      </c>
      <c r="T200" t="s">
        <v>257</v>
      </c>
      <c r="U200" t="s">
        <v>257</v>
      </c>
    </row>
    <row r="201" spans="1:21" x14ac:dyDescent="0.25">
      <c r="A201" t="s">
        <v>257</v>
      </c>
      <c r="B201" t="s">
        <v>257</v>
      </c>
      <c r="C201" t="s">
        <v>112</v>
      </c>
      <c r="D201" t="s">
        <v>86</v>
      </c>
      <c r="E201" t="s">
        <v>113</v>
      </c>
      <c r="F201">
        <v>4542.54</v>
      </c>
      <c r="G201">
        <v>5795</v>
      </c>
      <c r="H201" t="s">
        <v>257</v>
      </c>
      <c r="I201" s="35" t="s">
        <v>257</v>
      </c>
      <c r="J201">
        <v>1252.46</v>
      </c>
      <c r="K201" t="s">
        <v>257</v>
      </c>
      <c r="L201" t="s">
        <v>257</v>
      </c>
      <c r="M201" t="s">
        <v>257</v>
      </c>
      <c r="N201" t="s">
        <v>284</v>
      </c>
      <c r="O201" t="s">
        <v>257</v>
      </c>
      <c r="P201" t="s">
        <v>257</v>
      </c>
      <c r="Q201" t="s">
        <v>257</v>
      </c>
      <c r="R201" t="s">
        <v>257</v>
      </c>
      <c r="S201" t="s">
        <v>257</v>
      </c>
      <c r="T201" t="s">
        <v>257</v>
      </c>
      <c r="U201" t="s">
        <v>257</v>
      </c>
    </row>
    <row r="202" spans="1:21" x14ac:dyDescent="0.25">
      <c r="A202" t="s">
        <v>257</v>
      </c>
      <c r="B202" t="s">
        <v>285</v>
      </c>
      <c r="C202" t="s">
        <v>71</v>
      </c>
      <c r="D202" t="s">
        <v>72</v>
      </c>
      <c r="E202" t="s">
        <v>257</v>
      </c>
      <c r="F202">
        <v>3090.369999999999</v>
      </c>
      <c r="G202">
        <v>3350</v>
      </c>
      <c r="H202" t="s">
        <v>257</v>
      </c>
      <c r="I202" s="35" t="s">
        <v>257</v>
      </c>
      <c r="J202">
        <v>259.630000000001</v>
      </c>
      <c r="K202" t="s">
        <v>257</v>
      </c>
      <c r="L202" t="s">
        <v>257</v>
      </c>
      <c r="M202" t="s">
        <v>257</v>
      </c>
      <c r="N202" t="s">
        <v>286</v>
      </c>
      <c r="O202" t="s">
        <v>257</v>
      </c>
      <c r="P202" t="s">
        <v>257</v>
      </c>
      <c r="Q202" t="s">
        <v>257</v>
      </c>
      <c r="R202" t="s">
        <v>257</v>
      </c>
      <c r="S202" t="s">
        <v>257</v>
      </c>
      <c r="T202" t="s">
        <v>257</v>
      </c>
      <c r="U202" t="s">
        <v>257</v>
      </c>
    </row>
    <row r="203" spans="1:21" x14ac:dyDescent="0.25">
      <c r="A203" t="s">
        <v>257</v>
      </c>
      <c r="B203" t="s">
        <v>287</v>
      </c>
      <c r="C203" t="s">
        <v>69</v>
      </c>
      <c r="D203" t="s">
        <v>70</v>
      </c>
      <c r="E203" t="s">
        <v>257</v>
      </c>
      <c r="F203">
        <v>1359.7</v>
      </c>
      <c r="G203">
        <v>2200</v>
      </c>
      <c r="H203" t="s">
        <v>257</v>
      </c>
      <c r="I203" s="35" t="s">
        <v>257</v>
      </c>
      <c r="J203">
        <v>840.3</v>
      </c>
      <c r="K203" t="s">
        <v>257</v>
      </c>
      <c r="L203" t="s">
        <v>257</v>
      </c>
      <c r="M203" t="s">
        <v>257</v>
      </c>
      <c r="N203" t="s">
        <v>288</v>
      </c>
      <c r="O203" t="s">
        <v>257</v>
      </c>
      <c r="P203" t="s">
        <v>257</v>
      </c>
      <c r="Q203" t="s">
        <v>257</v>
      </c>
      <c r="R203" t="s">
        <v>257</v>
      </c>
      <c r="S203" t="s">
        <v>257</v>
      </c>
      <c r="T203" t="s">
        <v>257</v>
      </c>
      <c r="U203" t="s">
        <v>257</v>
      </c>
    </row>
    <row r="204" spans="1:21" x14ac:dyDescent="0.25">
      <c r="A204" t="s">
        <v>257</v>
      </c>
      <c r="B204" t="s">
        <v>289</v>
      </c>
      <c r="C204" t="s">
        <v>62</v>
      </c>
      <c r="D204" t="s">
        <v>63</v>
      </c>
      <c r="E204" t="s">
        <v>257</v>
      </c>
      <c r="F204">
        <v>5151.84</v>
      </c>
      <c r="G204">
        <v>5400</v>
      </c>
      <c r="H204" t="s">
        <v>257</v>
      </c>
      <c r="I204" s="35" t="s">
        <v>257</v>
      </c>
      <c r="J204">
        <v>248.15999999999985</v>
      </c>
      <c r="K204" t="s">
        <v>257</v>
      </c>
      <c r="L204" t="s">
        <v>257</v>
      </c>
      <c r="M204" t="s">
        <v>257</v>
      </c>
      <c r="N204" t="s">
        <v>290</v>
      </c>
      <c r="O204" t="s">
        <v>257</v>
      </c>
      <c r="P204" t="s">
        <v>257</v>
      </c>
      <c r="Q204" t="s">
        <v>257</v>
      </c>
      <c r="R204" t="s">
        <v>257</v>
      </c>
      <c r="S204" t="s">
        <v>257</v>
      </c>
      <c r="T204" t="s">
        <v>257</v>
      </c>
      <c r="U204" t="s">
        <v>257</v>
      </c>
    </row>
    <row r="205" spans="1:21" x14ac:dyDescent="0.25">
      <c r="A205" t="s">
        <v>257</v>
      </c>
      <c r="B205" t="s">
        <v>291</v>
      </c>
      <c r="C205" t="s">
        <v>64</v>
      </c>
      <c r="D205" t="s">
        <v>65</v>
      </c>
      <c r="E205" t="s">
        <v>257</v>
      </c>
      <c r="F205">
        <v>998.1500000000001</v>
      </c>
      <c r="G205">
        <v>1295</v>
      </c>
      <c r="H205" t="s">
        <v>257</v>
      </c>
      <c r="I205" s="35" t="s">
        <v>257</v>
      </c>
      <c r="J205">
        <v>296.8499999999999</v>
      </c>
      <c r="K205" t="s">
        <v>257</v>
      </c>
      <c r="L205" t="s">
        <v>257</v>
      </c>
      <c r="M205" t="s">
        <v>257</v>
      </c>
      <c r="N205" t="s">
        <v>292</v>
      </c>
      <c r="O205" t="s">
        <v>257</v>
      </c>
      <c r="P205" t="s">
        <v>257</v>
      </c>
      <c r="Q205" t="s">
        <v>257</v>
      </c>
      <c r="R205" t="s">
        <v>257</v>
      </c>
      <c r="S205" t="s">
        <v>257</v>
      </c>
      <c r="T205" t="s">
        <v>257</v>
      </c>
      <c r="U205" t="s">
        <v>257</v>
      </c>
    </row>
    <row r="206" spans="1:21" x14ac:dyDescent="0.25">
      <c r="A206" t="s">
        <v>257</v>
      </c>
      <c r="B206" t="s">
        <v>293</v>
      </c>
      <c r="C206" t="s">
        <v>60</v>
      </c>
      <c r="D206" t="s">
        <v>61</v>
      </c>
      <c r="E206" t="s">
        <v>257</v>
      </c>
      <c r="F206">
        <v>3108.7</v>
      </c>
      <c r="G206">
        <v>1450</v>
      </c>
      <c r="H206" t="s">
        <v>257</v>
      </c>
      <c r="I206" s="35" t="s">
        <v>257</v>
      </c>
      <c r="J206">
        <v>-1658.6999999999998</v>
      </c>
      <c r="K206" t="s">
        <v>257</v>
      </c>
      <c r="L206" t="s">
        <v>257</v>
      </c>
      <c r="M206" t="s">
        <v>257</v>
      </c>
      <c r="N206" t="s">
        <v>294</v>
      </c>
      <c r="O206" t="s">
        <v>257</v>
      </c>
      <c r="P206" t="s">
        <v>257</v>
      </c>
      <c r="Q206" t="s">
        <v>257</v>
      </c>
      <c r="R206" t="s">
        <v>257</v>
      </c>
      <c r="S206" t="s">
        <v>257</v>
      </c>
      <c r="T206" t="s">
        <v>257</v>
      </c>
      <c r="U206" t="s">
        <v>257</v>
      </c>
    </row>
    <row r="207" spans="1:21" x14ac:dyDescent="0.25">
      <c r="A207" t="s">
        <v>257</v>
      </c>
      <c r="B207" t="s">
        <v>295</v>
      </c>
      <c r="C207" t="s">
        <v>46</v>
      </c>
      <c r="D207" t="s">
        <v>47</v>
      </c>
      <c r="E207" t="s">
        <v>257</v>
      </c>
      <c r="F207">
        <v>2165.42</v>
      </c>
      <c r="G207">
        <v>2995</v>
      </c>
      <c r="H207" t="s">
        <v>257</v>
      </c>
      <c r="I207" s="35" t="s">
        <v>257</v>
      </c>
      <c r="J207">
        <v>829.5799999999999</v>
      </c>
      <c r="K207" t="s">
        <v>257</v>
      </c>
      <c r="L207" t="s">
        <v>257</v>
      </c>
      <c r="M207" t="s">
        <v>257</v>
      </c>
      <c r="N207" t="s">
        <v>296</v>
      </c>
      <c r="O207" t="s">
        <v>257</v>
      </c>
      <c r="P207" t="s">
        <v>257</v>
      </c>
      <c r="Q207" t="s">
        <v>257</v>
      </c>
      <c r="R207" t="s">
        <v>257</v>
      </c>
      <c r="S207" t="s">
        <v>257</v>
      </c>
      <c r="T207" t="s">
        <v>257</v>
      </c>
      <c r="U207" t="s">
        <v>257</v>
      </c>
    </row>
    <row r="208" spans="1:21" x14ac:dyDescent="0.25">
      <c r="A208" t="s">
        <v>257</v>
      </c>
      <c r="B208" t="s">
        <v>297</v>
      </c>
      <c r="C208" t="s">
        <v>48</v>
      </c>
      <c r="D208" t="s">
        <v>49</v>
      </c>
      <c r="E208" t="s">
        <v>257</v>
      </c>
      <c r="F208">
        <v>2160.74</v>
      </c>
      <c r="G208">
        <v>3376</v>
      </c>
      <c r="H208" t="s">
        <v>257</v>
      </c>
      <c r="I208" s="35" t="s">
        <v>257</v>
      </c>
      <c r="J208">
        <v>1215.2600000000002</v>
      </c>
      <c r="K208" t="s">
        <v>257</v>
      </c>
      <c r="L208" t="s">
        <v>257</v>
      </c>
      <c r="M208" t="s">
        <v>257</v>
      </c>
      <c r="N208" t="s">
        <v>298</v>
      </c>
      <c r="O208" t="s">
        <v>257</v>
      </c>
      <c r="P208" t="s">
        <v>257</v>
      </c>
      <c r="Q208" t="s">
        <v>257</v>
      </c>
      <c r="R208" t="s">
        <v>257</v>
      </c>
      <c r="S208" t="s">
        <v>257</v>
      </c>
      <c r="T208" t="s">
        <v>257</v>
      </c>
      <c r="U208" t="s">
        <v>257</v>
      </c>
    </row>
    <row r="209" spans="1:21" x14ac:dyDescent="0.25">
      <c r="A209" t="s">
        <v>257</v>
      </c>
      <c r="B209" t="s">
        <v>299</v>
      </c>
      <c r="C209" t="s">
        <v>54</v>
      </c>
      <c r="D209" t="s">
        <v>55</v>
      </c>
      <c r="E209" t="s">
        <v>257</v>
      </c>
      <c r="F209">
        <v>634.46</v>
      </c>
      <c r="G209">
        <v>1775</v>
      </c>
      <c r="H209" t="s">
        <v>257</v>
      </c>
      <c r="I209" s="35" t="s">
        <v>257</v>
      </c>
      <c r="J209">
        <v>1140.54</v>
      </c>
      <c r="K209" t="s">
        <v>257</v>
      </c>
      <c r="L209" t="s">
        <v>257</v>
      </c>
      <c r="M209" t="s">
        <v>257</v>
      </c>
      <c r="N209" t="s">
        <v>298</v>
      </c>
      <c r="O209" t="s">
        <v>257</v>
      </c>
      <c r="P209" t="s">
        <v>257</v>
      </c>
      <c r="Q209" t="s">
        <v>257</v>
      </c>
      <c r="R209" t="s">
        <v>257</v>
      </c>
      <c r="S209" t="s">
        <v>257</v>
      </c>
      <c r="T209" t="s">
        <v>257</v>
      </c>
      <c r="U209" t="s">
        <v>257</v>
      </c>
    </row>
    <row r="210" spans="1:21" x14ac:dyDescent="0.25">
      <c r="A210" t="s">
        <v>257</v>
      </c>
      <c r="B210" t="s">
        <v>300</v>
      </c>
      <c r="C210" t="s">
        <v>58</v>
      </c>
      <c r="D210" t="s">
        <v>59</v>
      </c>
      <c r="E210" t="s">
        <v>257</v>
      </c>
      <c r="F210">
        <v>2214.2</v>
      </c>
      <c r="G210">
        <v>2900</v>
      </c>
      <c r="H210" t="s">
        <v>257</v>
      </c>
      <c r="I210" s="35" t="s">
        <v>257</v>
      </c>
      <c r="J210">
        <v>685.8000000000002</v>
      </c>
      <c r="K210" t="s">
        <v>257</v>
      </c>
      <c r="L210" t="s">
        <v>257</v>
      </c>
      <c r="M210" t="s">
        <v>257</v>
      </c>
      <c r="N210" t="s">
        <v>300</v>
      </c>
      <c r="O210" t="s">
        <v>257</v>
      </c>
      <c r="P210" t="s">
        <v>257</v>
      </c>
      <c r="Q210" t="s">
        <v>257</v>
      </c>
      <c r="R210" t="s">
        <v>257</v>
      </c>
      <c r="S210" t="s">
        <v>257</v>
      </c>
      <c r="T210" t="s">
        <v>257</v>
      </c>
      <c r="U210" t="s">
        <v>257</v>
      </c>
    </row>
    <row r="211" spans="1:21" x14ac:dyDescent="0.25">
      <c r="A211" t="s">
        <v>257</v>
      </c>
      <c r="B211" t="s">
        <v>301</v>
      </c>
      <c r="C211" t="s">
        <v>50</v>
      </c>
      <c r="D211" t="s">
        <v>51</v>
      </c>
      <c r="E211" t="s">
        <v>257</v>
      </c>
      <c r="F211">
        <v>1992.81</v>
      </c>
      <c r="G211">
        <v>2300</v>
      </c>
      <c r="H211" t="s">
        <v>257</v>
      </c>
      <c r="I211" s="35" t="s">
        <v>257</v>
      </c>
      <c r="J211">
        <v>307.19000000000005</v>
      </c>
      <c r="K211" t="s">
        <v>257</v>
      </c>
      <c r="L211" t="s">
        <v>257</v>
      </c>
      <c r="M211" t="s">
        <v>257</v>
      </c>
      <c r="N211" t="s">
        <v>302</v>
      </c>
      <c r="O211" t="s">
        <v>257</v>
      </c>
      <c r="P211" t="s">
        <v>257</v>
      </c>
      <c r="Q211" t="s">
        <v>257</v>
      </c>
      <c r="R211" t="s">
        <v>257</v>
      </c>
      <c r="S211" t="s">
        <v>257</v>
      </c>
      <c r="T211" t="s">
        <v>257</v>
      </c>
      <c r="U211" t="s">
        <v>257</v>
      </c>
    </row>
    <row r="212" spans="1:21" x14ac:dyDescent="0.25">
      <c r="A212" t="s">
        <v>257</v>
      </c>
      <c r="B212" t="s">
        <v>303</v>
      </c>
      <c r="C212" t="s">
        <v>56</v>
      </c>
      <c r="D212" t="s">
        <v>57</v>
      </c>
      <c r="E212" t="s">
        <v>257</v>
      </c>
      <c r="F212">
        <v>6105.41</v>
      </c>
      <c r="G212">
        <v>6400</v>
      </c>
      <c r="H212" t="s">
        <v>257</v>
      </c>
      <c r="I212" s="35" t="s">
        <v>257</v>
      </c>
      <c r="J212">
        <v>294.59000000000015</v>
      </c>
      <c r="K212" t="s">
        <v>257</v>
      </c>
      <c r="L212" t="s">
        <v>257</v>
      </c>
      <c r="M212" t="s">
        <v>257</v>
      </c>
      <c r="N212" t="s">
        <v>302</v>
      </c>
      <c r="O212" t="s">
        <v>257</v>
      </c>
      <c r="P212" t="s">
        <v>257</v>
      </c>
      <c r="Q212" t="s">
        <v>257</v>
      </c>
      <c r="R212" t="s">
        <v>257</v>
      </c>
      <c r="S212" t="s">
        <v>257</v>
      </c>
      <c r="T212" t="s">
        <v>257</v>
      </c>
      <c r="U212" t="s">
        <v>257</v>
      </c>
    </row>
    <row r="213" spans="1:21" x14ac:dyDescent="0.25">
      <c r="A213" t="s">
        <v>257</v>
      </c>
      <c r="B213" t="s">
        <v>304</v>
      </c>
      <c r="C213" t="s">
        <v>44</v>
      </c>
      <c r="D213" t="s">
        <v>45</v>
      </c>
      <c r="E213" t="s">
        <v>257</v>
      </c>
      <c r="F213">
        <v>1684.85</v>
      </c>
      <c r="G213">
        <v>2900</v>
      </c>
      <c r="H213" t="s">
        <v>257</v>
      </c>
      <c r="I213" s="35" t="s">
        <v>257</v>
      </c>
      <c r="J213">
        <v>1215.15</v>
      </c>
      <c r="K213" t="s">
        <v>257</v>
      </c>
      <c r="L213" t="s">
        <v>257</v>
      </c>
      <c r="M213" t="s">
        <v>257</v>
      </c>
      <c r="N213" t="s">
        <v>291</v>
      </c>
      <c r="O213" t="s">
        <v>257</v>
      </c>
      <c r="P213" t="s">
        <v>257</v>
      </c>
      <c r="Q213" t="s">
        <v>257</v>
      </c>
      <c r="R213" t="s">
        <v>257</v>
      </c>
      <c r="S213" t="s">
        <v>257</v>
      </c>
      <c r="T213" t="s">
        <v>257</v>
      </c>
      <c r="U213" t="s">
        <v>257</v>
      </c>
    </row>
    <row r="214" spans="1:21" x14ac:dyDescent="0.25">
      <c r="A214" t="s">
        <v>257</v>
      </c>
      <c r="B214" t="s">
        <v>291</v>
      </c>
      <c r="C214" t="s">
        <v>52</v>
      </c>
      <c r="D214" t="s">
        <v>53</v>
      </c>
      <c r="E214" t="s">
        <v>257</v>
      </c>
      <c r="F214">
        <v>2736.32</v>
      </c>
      <c r="G214">
        <v>2900</v>
      </c>
      <c r="H214" t="s">
        <v>257</v>
      </c>
      <c r="I214" s="35" t="s">
        <v>257</v>
      </c>
      <c r="J214">
        <v>163.67999999999984</v>
      </c>
      <c r="K214" t="s">
        <v>257</v>
      </c>
      <c r="L214" t="s">
        <v>257</v>
      </c>
      <c r="M214" t="s">
        <v>257</v>
      </c>
      <c r="N214" t="s">
        <v>291</v>
      </c>
      <c r="O214" t="s">
        <v>257</v>
      </c>
      <c r="P214" t="s">
        <v>257</v>
      </c>
      <c r="Q214" t="s">
        <v>257</v>
      </c>
      <c r="R214" t="s">
        <v>257</v>
      </c>
      <c r="S214" t="s">
        <v>257</v>
      </c>
      <c r="T214" t="s">
        <v>257</v>
      </c>
      <c r="U214" t="s">
        <v>257</v>
      </c>
    </row>
    <row r="215" spans="1:21" x14ac:dyDescent="0.25">
      <c r="A215" t="s">
        <v>257</v>
      </c>
      <c r="B215" t="s">
        <v>257</v>
      </c>
      <c r="C215" t="s">
        <v>161</v>
      </c>
      <c r="D215" t="s">
        <v>162</v>
      </c>
      <c r="E215" t="s">
        <v>107</v>
      </c>
      <c r="F215">
        <v>6737.99</v>
      </c>
      <c r="G215">
        <v>9994</v>
      </c>
      <c r="H215" t="s">
        <v>257</v>
      </c>
      <c r="I215" s="35" t="s">
        <v>257</v>
      </c>
      <c r="J215">
        <v>3256.01</v>
      </c>
      <c r="K215" t="s">
        <v>257</v>
      </c>
      <c r="L215" t="s">
        <v>257</v>
      </c>
      <c r="M215" t="s">
        <v>257</v>
      </c>
      <c r="N215" t="s">
        <v>163</v>
      </c>
      <c r="O215" t="s">
        <v>257</v>
      </c>
      <c r="P215" t="s">
        <v>257</v>
      </c>
      <c r="Q215" t="s">
        <v>257</v>
      </c>
      <c r="R215" t="s">
        <v>257</v>
      </c>
      <c r="S215" t="s">
        <v>257</v>
      </c>
      <c r="T215" t="s">
        <v>257</v>
      </c>
      <c r="U215" t="s">
        <v>257</v>
      </c>
    </row>
    <row r="216" spans="1:21" x14ac:dyDescent="0.25">
      <c r="A216" t="s">
        <v>257</v>
      </c>
      <c r="B216" t="s">
        <v>265</v>
      </c>
      <c r="C216" t="s">
        <v>200</v>
      </c>
      <c r="D216" t="s">
        <v>201</v>
      </c>
      <c r="E216" t="s">
        <v>107</v>
      </c>
      <c r="F216">
        <v>781.27</v>
      </c>
      <c r="G216">
        <v>3000</v>
      </c>
      <c r="H216" t="s">
        <v>257</v>
      </c>
      <c r="I216" s="35" t="s">
        <v>257</v>
      </c>
      <c r="J216">
        <v>2218.73</v>
      </c>
      <c r="K216" t="s">
        <v>257</v>
      </c>
      <c r="L216" t="s">
        <v>257</v>
      </c>
      <c r="M216" t="s">
        <v>257</v>
      </c>
      <c r="N216" t="s">
        <v>202</v>
      </c>
      <c r="O216" t="s">
        <v>257</v>
      </c>
      <c r="P216" t="s">
        <v>257</v>
      </c>
      <c r="Q216" t="s">
        <v>257</v>
      </c>
      <c r="R216" t="s">
        <v>257</v>
      </c>
      <c r="S216" t="s">
        <v>257</v>
      </c>
      <c r="T216" t="s">
        <v>257</v>
      </c>
      <c r="U216" t="s">
        <v>257</v>
      </c>
    </row>
    <row r="217" spans="1:21" x14ac:dyDescent="0.25">
      <c r="A217" t="s">
        <v>257</v>
      </c>
      <c r="B217" t="s">
        <v>257</v>
      </c>
      <c r="C217" t="s">
        <v>159</v>
      </c>
      <c r="D217" t="s">
        <v>49</v>
      </c>
      <c r="E217" t="s">
        <v>125</v>
      </c>
      <c r="F217">
        <v>6647.9</v>
      </c>
      <c r="G217">
        <v>9050</v>
      </c>
      <c r="H217" t="s">
        <v>257</v>
      </c>
      <c r="I217" s="35" t="s">
        <v>257</v>
      </c>
      <c r="J217">
        <v>2402.1000000000004</v>
      </c>
      <c r="K217" t="s">
        <v>257</v>
      </c>
      <c r="L217" t="s">
        <v>257</v>
      </c>
      <c r="M217" t="s">
        <v>257</v>
      </c>
      <c r="N217" t="s">
        <v>160</v>
      </c>
      <c r="O217" t="s">
        <v>257</v>
      </c>
      <c r="P217" t="s">
        <v>257</v>
      </c>
      <c r="Q217" t="s">
        <v>257</v>
      </c>
      <c r="R217" t="s">
        <v>257</v>
      </c>
      <c r="S217" t="s">
        <v>257</v>
      </c>
      <c r="T217" t="s">
        <v>257</v>
      </c>
      <c r="U217" t="s">
        <v>257</v>
      </c>
    </row>
    <row r="218" spans="1:21" x14ac:dyDescent="0.25">
      <c r="A218" t="s">
        <v>257</v>
      </c>
      <c r="B218" t="s">
        <v>305</v>
      </c>
      <c r="C218" t="s">
        <v>232</v>
      </c>
      <c r="D218" t="s">
        <v>233</v>
      </c>
      <c r="E218" t="s">
        <v>107</v>
      </c>
      <c r="F218">
        <v>3385.5299999999997</v>
      </c>
      <c r="G218">
        <v>7989.29</v>
      </c>
      <c r="H218" t="s">
        <v>257</v>
      </c>
      <c r="I218" s="35" t="s">
        <v>257</v>
      </c>
      <c r="J218">
        <v>4603.76</v>
      </c>
      <c r="K218" t="s">
        <v>257</v>
      </c>
      <c r="L218" t="s">
        <v>257</v>
      </c>
      <c r="M218" t="s">
        <v>257</v>
      </c>
      <c r="N218" t="s">
        <v>234</v>
      </c>
      <c r="O218" t="s">
        <v>257</v>
      </c>
      <c r="P218" t="s">
        <v>257</v>
      </c>
      <c r="Q218" t="s">
        <v>257</v>
      </c>
      <c r="R218" t="s">
        <v>257</v>
      </c>
      <c r="S218" t="s">
        <v>257</v>
      </c>
      <c r="T218" t="s">
        <v>257</v>
      </c>
      <c r="U218" t="s">
        <v>257</v>
      </c>
    </row>
    <row r="219" spans="1:21" x14ac:dyDescent="0.25">
      <c r="A219" t="s">
        <v>257</v>
      </c>
      <c r="B219" t="s">
        <v>306</v>
      </c>
      <c r="C219" t="s">
        <v>235</v>
      </c>
      <c r="D219" t="s">
        <v>122</v>
      </c>
      <c r="E219" t="s">
        <v>107</v>
      </c>
      <c r="F219">
        <v>4014.6099999999997</v>
      </c>
      <c r="G219">
        <v>6800</v>
      </c>
      <c r="H219" t="s">
        <v>257</v>
      </c>
      <c r="I219" s="35" t="s">
        <v>257</v>
      </c>
      <c r="J219">
        <v>2785.3900000000003</v>
      </c>
      <c r="K219" t="s">
        <v>257</v>
      </c>
      <c r="L219" t="s">
        <v>257</v>
      </c>
      <c r="M219" t="s">
        <v>257</v>
      </c>
      <c r="N219" t="s">
        <v>234</v>
      </c>
      <c r="O219" t="s">
        <v>257</v>
      </c>
      <c r="P219" t="s">
        <v>257</v>
      </c>
      <c r="Q219" t="s">
        <v>257</v>
      </c>
      <c r="R219" t="s">
        <v>257</v>
      </c>
      <c r="S219" t="s">
        <v>257</v>
      </c>
      <c r="T219" t="s">
        <v>257</v>
      </c>
      <c r="U219" t="s">
        <v>257</v>
      </c>
    </row>
    <row r="220" spans="1:21" x14ac:dyDescent="0.25">
      <c r="A220" t="s">
        <v>257</v>
      </c>
      <c r="B220" t="s">
        <v>307</v>
      </c>
      <c r="C220" t="s">
        <v>225</v>
      </c>
      <c r="D220" t="s">
        <v>226</v>
      </c>
      <c r="E220" t="s">
        <v>129</v>
      </c>
      <c r="F220">
        <v>6497.88</v>
      </c>
      <c r="G220">
        <v>8650</v>
      </c>
      <c r="H220" t="s">
        <v>257</v>
      </c>
      <c r="I220" s="35" t="s">
        <v>257</v>
      </c>
      <c r="J220">
        <v>2152.12</v>
      </c>
      <c r="K220" t="s">
        <v>257</v>
      </c>
      <c r="L220" t="s">
        <v>257</v>
      </c>
      <c r="M220" t="s">
        <v>257</v>
      </c>
      <c r="N220" t="s">
        <v>227</v>
      </c>
      <c r="O220" t="s">
        <v>257</v>
      </c>
      <c r="P220" t="s">
        <v>257</v>
      </c>
      <c r="Q220" t="s">
        <v>257</v>
      </c>
      <c r="R220" t="s">
        <v>257</v>
      </c>
      <c r="S220" t="s">
        <v>257</v>
      </c>
      <c r="T220" t="s">
        <v>257</v>
      </c>
      <c r="U220" t="s">
        <v>257</v>
      </c>
    </row>
    <row r="221" spans="1:21" x14ac:dyDescent="0.25">
      <c r="A221" t="s">
        <v>257</v>
      </c>
      <c r="B221" t="s">
        <v>308</v>
      </c>
      <c r="C221" t="s">
        <v>223</v>
      </c>
      <c r="D221" t="s">
        <v>128</v>
      </c>
      <c r="E221" t="s">
        <v>125</v>
      </c>
      <c r="F221">
        <v>4625.13</v>
      </c>
      <c r="G221">
        <v>7250</v>
      </c>
      <c r="H221" t="s">
        <v>257</v>
      </c>
      <c r="I221" s="35" t="s">
        <v>257</v>
      </c>
      <c r="J221">
        <v>2624.87</v>
      </c>
      <c r="K221" t="s">
        <v>257</v>
      </c>
      <c r="L221" t="s">
        <v>257</v>
      </c>
      <c r="M221" t="s">
        <v>257</v>
      </c>
      <c r="N221" t="s">
        <v>224</v>
      </c>
      <c r="O221" t="s">
        <v>257</v>
      </c>
      <c r="P221" t="s">
        <v>257</v>
      </c>
      <c r="Q221" t="s">
        <v>257</v>
      </c>
      <c r="R221" t="s">
        <v>257</v>
      </c>
      <c r="S221" t="s">
        <v>257</v>
      </c>
      <c r="T221" t="s">
        <v>257</v>
      </c>
      <c r="U221" t="s">
        <v>257</v>
      </c>
    </row>
    <row r="222" spans="1:21" x14ac:dyDescent="0.25">
      <c r="A222" t="s">
        <v>257</v>
      </c>
      <c r="B222" t="s">
        <v>309</v>
      </c>
      <c r="C222" t="s">
        <v>310</v>
      </c>
      <c r="D222" t="s">
        <v>311</v>
      </c>
      <c r="E222" t="s">
        <v>129</v>
      </c>
      <c r="F222">
        <v>6530.8</v>
      </c>
      <c r="G222">
        <v>50000</v>
      </c>
      <c r="H222" t="s">
        <v>257</v>
      </c>
      <c r="I222" s="35" t="s">
        <v>257</v>
      </c>
      <c r="J222">
        <v>43469.2</v>
      </c>
      <c r="K222" t="s">
        <v>257</v>
      </c>
      <c r="L222" t="s">
        <v>257</v>
      </c>
      <c r="M222" t="s">
        <v>257</v>
      </c>
      <c r="N222" t="s">
        <v>312</v>
      </c>
      <c r="O222" t="s">
        <v>257</v>
      </c>
      <c r="P222" t="s">
        <v>257</v>
      </c>
      <c r="Q222" t="s">
        <v>257</v>
      </c>
      <c r="R222" t="s">
        <v>257</v>
      </c>
      <c r="S222" t="s">
        <v>257</v>
      </c>
      <c r="T222" t="s">
        <v>257</v>
      </c>
      <c r="U222" t="s">
        <v>257</v>
      </c>
    </row>
    <row r="223" spans="1:21" x14ac:dyDescent="0.25">
      <c r="A223" t="s">
        <v>257</v>
      </c>
      <c r="B223" t="s">
        <v>257</v>
      </c>
      <c r="C223" t="s">
        <v>152</v>
      </c>
      <c r="D223" t="s">
        <v>153</v>
      </c>
      <c r="E223" t="s">
        <v>107</v>
      </c>
      <c r="F223">
        <v>2571.2166666666667</v>
      </c>
      <c r="G223">
        <v>3500</v>
      </c>
      <c r="H223" t="s">
        <v>257</v>
      </c>
      <c r="I223" s="35" t="s">
        <v>257</v>
      </c>
      <c r="J223">
        <v>928.7833333333333</v>
      </c>
      <c r="K223" t="s">
        <v>257</v>
      </c>
      <c r="L223" t="s">
        <v>257</v>
      </c>
      <c r="M223" t="s">
        <v>257</v>
      </c>
      <c r="N223" t="s">
        <v>154</v>
      </c>
      <c r="O223" t="s">
        <v>257</v>
      </c>
      <c r="P223" t="s">
        <v>257</v>
      </c>
      <c r="Q223" t="s">
        <v>257</v>
      </c>
      <c r="R223" t="s">
        <v>257</v>
      </c>
      <c r="S223" t="s">
        <v>257</v>
      </c>
      <c r="T223" t="s">
        <v>257</v>
      </c>
      <c r="U223" t="s">
        <v>257</v>
      </c>
    </row>
    <row r="224" spans="1:21" x14ac:dyDescent="0.25">
      <c r="A224" t="s">
        <v>257</v>
      </c>
      <c r="B224" t="s">
        <v>263</v>
      </c>
      <c r="C224" t="s">
        <v>221</v>
      </c>
      <c r="D224" t="s">
        <v>128</v>
      </c>
      <c r="E224" t="s">
        <v>110</v>
      </c>
      <c r="F224">
        <v>5947.61</v>
      </c>
      <c r="G224">
        <v>7995</v>
      </c>
      <c r="H224" t="s">
        <v>257</v>
      </c>
      <c r="I224" s="35" t="s">
        <v>257</v>
      </c>
      <c r="J224">
        <v>2047.3900000000003</v>
      </c>
      <c r="K224" t="s">
        <v>257</v>
      </c>
      <c r="L224" t="s">
        <v>257</v>
      </c>
      <c r="M224" t="s">
        <v>257</v>
      </c>
      <c r="N224" t="s">
        <v>222</v>
      </c>
      <c r="O224" t="s">
        <v>257</v>
      </c>
      <c r="P224" t="s">
        <v>257</v>
      </c>
      <c r="Q224" t="s">
        <v>257</v>
      </c>
      <c r="R224" t="s">
        <v>257</v>
      </c>
      <c r="S224" t="s">
        <v>257</v>
      </c>
      <c r="T224" t="s">
        <v>257</v>
      </c>
      <c r="U224" t="s">
        <v>257</v>
      </c>
    </row>
    <row r="225" spans="1:21" x14ac:dyDescent="0.25">
      <c r="A225" t="s">
        <v>257</v>
      </c>
      <c r="B225" t="s">
        <v>313</v>
      </c>
      <c r="C225" t="s">
        <v>218</v>
      </c>
      <c r="D225" t="s">
        <v>219</v>
      </c>
      <c r="E225" t="s">
        <v>113</v>
      </c>
      <c r="F225">
        <v>7508.91</v>
      </c>
      <c r="G225">
        <v>10800</v>
      </c>
      <c r="H225" t="s">
        <v>257</v>
      </c>
      <c r="I225" s="35" t="s">
        <v>257</v>
      </c>
      <c r="J225">
        <v>3291.09</v>
      </c>
      <c r="K225" t="s">
        <v>257</v>
      </c>
      <c r="L225" t="s">
        <v>257</v>
      </c>
      <c r="M225" t="s">
        <v>257</v>
      </c>
      <c r="N225" t="s">
        <v>220</v>
      </c>
      <c r="O225" t="s">
        <v>257</v>
      </c>
      <c r="P225" t="s">
        <v>257</v>
      </c>
      <c r="Q225" t="s">
        <v>257</v>
      </c>
      <c r="R225" t="s">
        <v>257</v>
      </c>
      <c r="S225" t="s">
        <v>257</v>
      </c>
      <c r="T225" t="s">
        <v>257</v>
      </c>
      <c r="U225" t="s">
        <v>257</v>
      </c>
    </row>
    <row r="226" spans="1:21" x14ac:dyDescent="0.25">
      <c r="A226" t="s">
        <v>257</v>
      </c>
      <c r="B226" t="s">
        <v>214</v>
      </c>
      <c r="C226" t="s">
        <v>215</v>
      </c>
      <c r="D226" t="s">
        <v>216</v>
      </c>
      <c r="E226" t="s">
        <v>110</v>
      </c>
      <c r="F226">
        <v>4606.41</v>
      </c>
      <c r="G226">
        <v>7495</v>
      </c>
      <c r="H226" t="s">
        <v>257</v>
      </c>
      <c r="I226" s="35" t="s">
        <v>257</v>
      </c>
      <c r="J226">
        <v>2888.59</v>
      </c>
      <c r="K226" t="s">
        <v>257</v>
      </c>
      <c r="L226" t="s">
        <v>257</v>
      </c>
      <c r="M226" t="s">
        <v>257</v>
      </c>
      <c r="N226" t="s">
        <v>217</v>
      </c>
      <c r="O226" t="s">
        <v>257</v>
      </c>
      <c r="P226" t="s">
        <v>257</v>
      </c>
      <c r="Q226" t="s">
        <v>257</v>
      </c>
      <c r="R226" t="s">
        <v>257</v>
      </c>
      <c r="S226" t="s">
        <v>257</v>
      </c>
      <c r="T226" t="s">
        <v>257</v>
      </c>
      <c r="U226" t="s">
        <v>257</v>
      </c>
    </row>
    <row r="227" spans="1:21" x14ac:dyDescent="0.25">
      <c r="A227" t="s">
        <v>257</v>
      </c>
      <c r="B227" t="s">
        <v>314</v>
      </c>
      <c r="C227" t="s">
        <v>211</v>
      </c>
      <c r="D227" t="s">
        <v>212</v>
      </c>
      <c r="E227" t="s">
        <v>129</v>
      </c>
      <c r="F227">
        <v>8231.48</v>
      </c>
      <c r="G227">
        <v>10995</v>
      </c>
      <c r="H227" t="s">
        <v>257</v>
      </c>
      <c r="I227" s="35" t="s">
        <v>257</v>
      </c>
      <c r="J227">
        <v>2763.5200000000004</v>
      </c>
      <c r="K227" t="s">
        <v>257</v>
      </c>
      <c r="L227" t="s">
        <v>257</v>
      </c>
      <c r="M227" t="s">
        <v>257</v>
      </c>
      <c r="N227" t="s">
        <v>213</v>
      </c>
      <c r="O227" t="s">
        <v>257</v>
      </c>
      <c r="P227" t="s">
        <v>257</v>
      </c>
      <c r="Q227" t="s">
        <v>257</v>
      </c>
      <c r="R227" t="s">
        <v>257</v>
      </c>
      <c r="S227" t="s">
        <v>257</v>
      </c>
      <c r="T227" t="s">
        <v>257</v>
      </c>
      <c r="U227" t="s">
        <v>257</v>
      </c>
    </row>
    <row r="228" spans="1:21" x14ac:dyDescent="0.25">
      <c r="A228" t="s">
        <v>257</v>
      </c>
      <c r="B228" t="s">
        <v>265</v>
      </c>
      <c r="C228" t="s">
        <v>254</v>
      </c>
      <c r="D228" t="s">
        <v>255</v>
      </c>
      <c r="E228" t="s">
        <v>107</v>
      </c>
      <c r="F228">
        <v>122.46000000000001</v>
      </c>
      <c r="G228">
        <v>6650</v>
      </c>
      <c r="H228" t="s">
        <v>257</v>
      </c>
      <c r="I228" s="35" t="s">
        <v>257</v>
      </c>
      <c r="J228">
        <v>6527.54</v>
      </c>
      <c r="K228" t="s">
        <v>257</v>
      </c>
      <c r="L228" t="s">
        <v>257</v>
      </c>
      <c r="M228" t="s">
        <v>257</v>
      </c>
      <c r="N228" t="s">
        <v>256</v>
      </c>
      <c r="O228" t="s">
        <v>257</v>
      </c>
      <c r="P228" t="s">
        <v>257</v>
      </c>
      <c r="Q228" t="s">
        <v>257</v>
      </c>
      <c r="R228" t="s">
        <v>257</v>
      </c>
      <c r="S228" t="s">
        <v>257</v>
      </c>
      <c r="T228" t="s">
        <v>257</v>
      </c>
      <c r="U228" t="s">
        <v>257</v>
      </c>
    </row>
    <row r="229" spans="1:21" x14ac:dyDescent="0.25">
      <c r="A229" t="s">
        <v>257</v>
      </c>
      <c r="B229" t="s">
        <v>315</v>
      </c>
      <c r="C229" t="s">
        <v>208</v>
      </c>
      <c r="D229" t="s">
        <v>209</v>
      </c>
      <c r="E229" t="s">
        <v>125</v>
      </c>
      <c r="F229">
        <v>5336.28</v>
      </c>
      <c r="G229">
        <v>7200</v>
      </c>
      <c r="H229" t="s">
        <v>257</v>
      </c>
      <c r="I229" s="35" t="s">
        <v>257</v>
      </c>
      <c r="J229">
        <v>1863.7200000000003</v>
      </c>
      <c r="K229" t="s">
        <v>257</v>
      </c>
      <c r="L229" t="s">
        <v>257</v>
      </c>
      <c r="M229" t="s">
        <v>257</v>
      </c>
      <c r="N229" t="s">
        <v>210</v>
      </c>
      <c r="O229" t="s">
        <v>257</v>
      </c>
      <c r="P229" t="s">
        <v>257</v>
      </c>
      <c r="Q229" t="s">
        <v>257</v>
      </c>
      <c r="R229" t="s">
        <v>257</v>
      </c>
      <c r="S229" t="s">
        <v>257</v>
      </c>
      <c r="T229" t="s">
        <v>257</v>
      </c>
      <c r="U229" t="s">
        <v>257</v>
      </c>
    </row>
    <row r="230" spans="1:21" x14ac:dyDescent="0.25">
      <c r="A230" t="s">
        <v>257</v>
      </c>
      <c r="B230" t="s">
        <v>316</v>
      </c>
      <c r="C230" t="s">
        <v>251</v>
      </c>
      <c r="D230" t="s">
        <v>252</v>
      </c>
      <c r="E230" t="s">
        <v>113</v>
      </c>
      <c r="F230">
        <v>7944.275</v>
      </c>
      <c r="G230">
        <v>10250</v>
      </c>
      <c r="H230" t="s">
        <v>257</v>
      </c>
      <c r="I230" s="35" t="s">
        <v>257</v>
      </c>
      <c r="J230">
        <v>2305.7250000000004</v>
      </c>
      <c r="K230" t="s">
        <v>257</v>
      </c>
      <c r="L230" t="s">
        <v>257</v>
      </c>
      <c r="M230" t="s">
        <v>257</v>
      </c>
      <c r="N230" t="s">
        <v>253</v>
      </c>
      <c r="O230" t="s">
        <v>257</v>
      </c>
      <c r="P230" t="s">
        <v>257</v>
      </c>
      <c r="Q230" t="s">
        <v>257</v>
      </c>
      <c r="R230" t="s">
        <v>257</v>
      </c>
      <c r="S230" t="s">
        <v>257</v>
      </c>
      <c r="T230" t="s">
        <v>257</v>
      </c>
      <c r="U230" t="s">
        <v>257</v>
      </c>
    </row>
    <row r="231" spans="1:21" x14ac:dyDescent="0.25">
      <c r="A231" t="s">
        <v>257</v>
      </c>
      <c r="B231" t="s">
        <v>317</v>
      </c>
      <c r="C231" t="s">
        <v>249</v>
      </c>
      <c r="D231" t="s">
        <v>70</v>
      </c>
      <c r="E231" t="s">
        <v>107</v>
      </c>
      <c r="F231">
        <v>0</v>
      </c>
      <c r="G231">
        <v>5295</v>
      </c>
      <c r="H231" t="s">
        <v>257</v>
      </c>
      <c r="I231" s="35" t="s">
        <v>257</v>
      </c>
      <c r="J231">
        <v>5295</v>
      </c>
      <c r="K231" t="s">
        <v>257</v>
      </c>
      <c r="L231" t="s">
        <v>257</v>
      </c>
      <c r="M231" t="s">
        <v>257</v>
      </c>
      <c r="N231" t="s">
        <v>250</v>
      </c>
      <c r="O231" t="s">
        <v>257</v>
      </c>
      <c r="P231" t="s">
        <v>257</v>
      </c>
      <c r="Q231" t="s">
        <v>257</v>
      </c>
      <c r="R231" t="s">
        <v>257</v>
      </c>
      <c r="S231" t="s">
        <v>257</v>
      </c>
      <c r="T231" t="s">
        <v>257</v>
      </c>
      <c r="U231" t="s">
        <v>257</v>
      </c>
    </row>
    <row r="232" spans="1:21" x14ac:dyDescent="0.25">
      <c r="A232" t="s">
        <v>257</v>
      </c>
      <c r="B232" t="s">
        <v>266</v>
      </c>
      <c r="C232" t="s">
        <v>205</v>
      </c>
      <c r="D232" t="s">
        <v>206</v>
      </c>
      <c r="E232" t="s">
        <v>107</v>
      </c>
      <c r="F232">
        <v>6388.24</v>
      </c>
      <c r="G232">
        <v>3295</v>
      </c>
      <c r="H232" t="s">
        <v>257</v>
      </c>
      <c r="I232" s="35" t="s">
        <v>257</v>
      </c>
      <c r="J232">
        <v>-3093.24</v>
      </c>
      <c r="K232" t="s">
        <v>257</v>
      </c>
      <c r="L232" t="s">
        <v>257</v>
      </c>
      <c r="M232" t="s">
        <v>257</v>
      </c>
      <c r="N232" t="s">
        <v>207</v>
      </c>
      <c r="O232" t="s">
        <v>257</v>
      </c>
      <c r="P232" t="s">
        <v>257</v>
      </c>
      <c r="Q232" t="s">
        <v>257</v>
      </c>
      <c r="R232" t="s">
        <v>257</v>
      </c>
      <c r="S232" t="s">
        <v>257</v>
      </c>
      <c r="T232" t="s">
        <v>257</v>
      </c>
      <c r="U232" t="s">
        <v>257</v>
      </c>
    </row>
    <row r="233" spans="1:21" x14ac:dyDescent="0.25">
      <c r="A233" t="s">
        <v>257</v>
      </c>
      <c r="B233" t="s">
        <v>318</v>
      </c>
      <c r="C233" t="s">
        <v>244</v>
      </c>
      <c r="D233" t="s">
        <v>245</v>
      </c>
      <c r="E233" t="s">
        <v>107</v>
      </c>
      <c r="F233">
        <v>6993.22</v>
      </c>
      <c r="G233">
        <v>8400</v>
      </c>
      <c r="H233" t="s">
        <v>257</v>
      </c>
      <c r="I233" s="35" t="s">
        <v>257</v>
      </c>
      <c r="J233">
        <v>1406.7799999999997</v>
      </c>
      <c r="K233" t="s">
        <v>257</v>
      </c>
      <c r="L233" t="s">
        <v>257</v>
      </c>
      <c r="M233" t="s">
        <v>257</v>
      </c>
      <c r="N233" t="s">
        <v>246</v>
      </c>
      <c r="O233" t="s">
        <v>257</v>
      </c>
      <c r="P233" t="s">
        <v>257</v>
      </c>
      <c r="Q233" t="s">
        <v>257</v>
      </c>
      <c r="R233" t="s">
        <v>257</v>
      </c>
      <c r="S233" t="s">
        <v>257</v>
      </c>
      <c r="T233" t="s">
        <v>257</v>
      </c>
      <c r="U233" t="s">
        <v>257</v>
      </c>
    </row>
    <row r="234" spans="1:21" x14ac:dyDescent="0.25">
      <c r="A234" t="s">
        <v>257</v>
      </c>
      <c r="B234" t="s">
        <v>319</v>
      </c>
      <c r="C234" t="s">
        <v>247</v>
      </c>
      <c r="D234" t="s">
        <v>248</v>
      </c>
      <c r="E234" t="s">
        <v>110</v>
      </c>
      <c r="F234">
        <v>8558.78</v>
      </c>
      <c r="G234">
        <v>12050</v>
      </c>
      <c r="H234" t="s">
        <v>257</v>
      </c>
      <c r="I234" s="35" t="s">
        <v>257</v>
      </c>
      <c r="J234">
        <v>3491.2199999999993</v>
      </c>
      <c r="K234" t="s">
        <v>257</v>
      </c>
      <c r="L234" t="s">
        <v>257</v>
      </c>
      <c r="M234" t="s">
        <v>257</v>
      </c>
      <c r="N234" t="s">
        <v>246</v>
      </c>
      <c r="O234" t="s">
        <v>257</v>
      </c>
      <c r="P234" t="s">
        <v>257</v>
      </c>
      <c r="Q234" t="s">
        <v>257</v>
      </c>
      <c r="R234" t="s">
        <v>257</v>
      </c>
      <c r="S234" t="s">
        <v>257</v>
      </c>
      <c r="T234" t="s">
        <v>257</v>
      </c>
      <c r="U234" t="s">
        <v>257</v>
      </c>
    </row>
    <row r="235" spans="1:21" x14ac:dyDescent="0.25">
      <c r="A235" t="s">
        <v>257</v>
      </c>
      <c r="B235" t="s">
        <v>320</v>
      </c>
      <c r="C235" t="s">
        <v>203</v>
      </c>
      <c r="D235" t="s">
        <v>148</v>
      </c>
      <c r="E235" t="s">
        <v>129</v>
      </c>
      <c r="F235">
        <v>6493.7</v>
      </c>
      <c r="G235">
        <v>8465</v>
      </c>
      <c r="H235" t="s">
        <v>257</v>
      </c>
      <c r="I235" s="35" t="s">
        <v>257</v>
      </c>
      <c r="J235">
        <v>1971.3000000000002</v>
      </c>
      <c r="K235" t="s">
        <v>257</v>
      </c>
      <c r="L235" t="s">
        <v>257</v>
      </c>
      <c r="M235" t="s">
        <v>257</v>
      </c>
      <c r="N235" t="s">
        <v>204</v>
      </c>
      <c r="O235" t="s">
        <v>257</v>
      </c>
      <c r="P235" t="s">
        <v>257</v>
      </c>
      <c r="Q235" t="s">
        <v>257</v>
      </c>
      <c r="R235" t="s">
        <v>257</v>
      </c>
      <c r="S235" t="s">
        <v>257</v>
      </c>
      <c r="T235" t="s">
        <v>257</v>
      </c>
      <c r="U235" t="s">
        <v>257</v>
      </c>
    </row>
    <row r="236" spans="1:21" x14ac:dyDescent="0.25">
      <c r="A236" t="s">
        <v>257</v>
      </c>
      <c r="B236" t="s">
        <v>308</v>
      </c>
      <c r="C236" t="s">
        <v>241</v>
      </c>
      <c r="D236" t="s">
        <v>242</v>
      </c>
      <c r="E236" t="s">
        <v>110</v>
      </c>
      <c r="F236">
        <v>7491.5</v>
      </c>
      <c r="G236">
        <v>9971</v>
      </c>
      <c r="H236" t="s">
        <v>257</v>
      </c>
      <c r="I236" s="35" t="s">
        <v>257</v>
      </c>
      <c r="J236">
        <v>2479.5</v>
      </c>
      <c r="K236" t="s">
        <v>257</v>
      </c>
      <c r="L236" t="s">
        <v>257</v>
      </c>
      <c r="M236" t="s">
        <v>257</v>
      </c>
      <c r="N236" t="s">
        <v>243</v>
      </c>
      <c r="O236" t="s">
        <v>257</v>
      </c>
      <c r="P236" t="s">
        <v>257</v>
      </c>
      <c r="Q236" t="s">
        <v>257</v>
      </c>
      <c r="R236" t="s">
        <v>257</v>
      </c>
      <c r="S236" t="s">
        <v>257</v>
      </c>
      <c r="T236" t="s">
        <v>257</v>
      </c>
      <c r="U236" t="s">
        <v>257</v>
      </c>
    </row>
    <row r="237" spans="1:21" x14ac:dyDescent="0.25">
      <c r="A237" t="s">
        <v>257</v>
      </c>
      <c r="B237" t="s">
        <v>262</v>
      </c>
      <c r="C237" t="s">
        <v>238</v>
      </c>
      <c r="D237" t="s">
        <v>239</v>
      </c>
      <c r="E237" t="s">
        <v>107</v>
      </c>
      <c r="F237">
        <v>4901.89</v>
      </c>
      <c r="G237">
        <v>5695</v>
      </c>
      <c r="H237" t="s">
        <v>257</v>
      </c>
      <c r="I237" s="35" t="s">
        <v>257</v>
      </c>
      <c r="J237">
        <v>793.1099999999997</v>
      </c>
      <c r="K237" t="s">
        <v>257</v>
      </c>
      <c r="L237" t="s">
        <v>257</v>
      </c>
      <c r="M237" t="s">
        <v>257</v>
      </c>
      <c r="N237" t="s">
        <v>240</v>
      </c>
      <c r="O237" t="s">
        <v>257</v>
      </c>
      <c r="P237" t="s">
        <v>257</v>
      </c>
      <c r="Q237" t="s">
        <v>257</v>
      </c>
      <c r="R237" t="s">
        <v>257</v>
      </c>
      <c r="S237" t="s">
        <v>257</v>
      </c>
      <c r="T237" t="s">
        <v>257</v>
      </c>
      <c r="U237" t="s">
        <v>257</v>
      </c>
    </row>
    <row r="238" spans="1:21" x14ac:dyDescent="0.25">
      <c r="A238" t="s">
        <v>257</v>
      </c>
      <c r="B238" t="s">
        <v>303</v>
      </c>
      <c r="C238" t="s">
        <v>66</v>
      </c>
      <c r="D238" t="s">
        <v>67</v>
      </c>
      <c r="E238" t="s">
        <v>257</v>
      </c>
      <c r="F238">
        <v>1422.04</v>
      </c>
      <c r="G238">
        <v>1900</v>
      </c>
      <c r="H238" t="s">
        <v>257</v>
      </c>
      <c r="I238" s="35" t="s">
        <v>257</v>
      </c>
      <c r="J238">
        <v>477.96000000000004</v>
      </c>
      <c r="K238" t="s">
        <v>257</v>
      </c>
      <c r="L238" t="s">
        <v>257</v>
      </c>
      <c r="M238" t="s">
        <v>257</v>
      </c>
      <c r="N238" t="s">
        <v>68</v>
      </c>
      <c r="O238" t="s">
        <v>257</v>
      </c>
      <c r="P238" t="s">
        <v>257</v>
      </c>
      <c r="Q238" t="s">
        <v>257</v>
      </c>
      <c r="R238" t="s">
        <v>257</v>
      </c>
      <c r="S238" t="s">
        <v>257</v>
      </c>
      <c r="T238" t="s">
        <v>257</v>
      </c>
      <c r="U238" t="s">
        <v>257</v>
      </c>
    </row>
    <row r="239" spans="1:21" x14ac:dyDescent="0.25">
      <c r="A239" t="s">
        <v>257</v>
      </c>
      <c r="B239" t="s">
        <v>303</v>
      </c>
      <c r="C239" t="s">
        <v>66</v>
      </c>
      <c r="D239" t="s">
        <v>67</v>
      </c>
      <c r="E239" t="s">
        <v>257</v>
      </c>
      <c r="F239">
        <v>1445.22</v>
      </c>
      <c r="G239">
        <v>1900</v>
      </c>
      <c r="H239" t="s">
        <v>257</v>
      </c>
      <c r="I239" s="35" t="s">
        <v>257</v>
      </c>
      <c r="J239">
        <v>454.78</v>
      </c>
      <c r="K239" t="s">
        <v>257</v>
      </c>
      <c r="L239" t="s">
        <v>257</v>
      </c>
      <c r="M239" t="s">
        <v>257</v>
      </c>
      <c r="N239" t="s">
        <v>257</v>
      </c>
      <c r="O239" t="s">
        <v>257</v>
      </c>
      <c r="P239" t="s">
        <v>257</v>
      </c>
      <c r="Q239" t="s">
        <v>257</v>
      </c>
      <c r="R239" t="s">
        <v>257</v>
      </c>
      <c r="S239" t="s">
        <v>257</v>
      </c>
      <c r="T239" t="s">
        <v>257</v>
      </c>
      <c r="U239" t="s">
        <v>257</v>
      </c>
    </row>
    <row r="240" spans="1:21" x14ac:dyDescent="0.25">
      <c r="A240" t="s">
        <v>257</v>
      </c>
      <c r="B240" t="s">
        <v>321</v>
      </c>
      <c r="C240" t="s">
        <v>73</v>
      </c>
      <c r="D240" t="s">
        <v>74</v>
      </c>
      <c r="E240" t="s">
        <v>257</v>
      </c>
      <c r="F240">
        <v>1981.44</v>
      </c>
      <c r="G240">
        <v>2195</v>
      </c>
      <c r="H240" t="s">
        <v>257</v>
      </c>
      <c r="I240" s="35" t="s">
        <v>257</v>
      </c>
      <c r="J240">
        <v>213.55999999999995</v>
      </c>
      <c r="K240" t="s">
        <v>257</v>
      </c>
      <c r="L240" t="s">
        <v>257</v>
      </c>
      <c r="M240" t="s">
        <v>257</v>
      </c>
      <c r="N240" t="s">
        <v>257</v>
      </c>
      <c r="O240" t="s">
        <v>257</v>
      </c>
      <c r="P240" t="s">
        <v>257</v>
      </c>
      <c r="Q240" t="s">
        <v>257</v>
      </c>
      <c r="R240" t="s">
        <v>257</v>
      </c>
      <c r="S240" t="s">
        <v>257</v>
      </c>
      <c r="T240" t="s">
        <v>257</v>
      </c>
      <c r="U240" t="s">
        <v>257</v>
      </c>
    </row>
    <row r="241" spans="1:21" x14ac:dyDescent="0.25">
      <c r="A241" t="s">
        <v>257</v>
      </c>
      <c r="B241" t="s">
        <v>285</v>
      </c>
      <c r="C241" t="s">
        <v>71</v>
      </c>
      <c r="D241" t="s">
        <v>72</v>
      </c>
      <c r="E241" t="s">
        <v>257</v>
      </c>
      <c r="F241">
        <v>3090.369999999999</v>
      </c>
      <c r="G241">
        <v>3350</v>
      </c>
      <c r="H241" t="s">
        <v>257</v>
      </c>
      <c r="I241" s="35" t="s">
        <v>257</v>
      </c>
      <c r="J241">
        <v>259.630000000001</v>
      </c>
      <c r="K241" t="s">
        <v>257</v>
      </c>
      <c r="L241" t="s">
        <v>257</v>
      </c>
      <c r="M241" t="s">
        <v>257</v>
      </c>
      <c r="N241" t="s">
        <v>257</v>
      </c>
      <c r="O241" t="s">
        <v>257</v>
      </c>
      <c r="P241" t="s">
        <v>257</v>
      </c>
      <c r="Q241" t="s">
        <v>257</v>
      </c>
      <c r="R241" t="s">
        <v>257</v>
      </c>
      <c r="S241" t="s">
        <v>257</v>
      </c>
      <c r="T241" t="s">
        <v>257</v>
      </c>
      <c r="U241" t="s">
        <v>257</v>
      </c>
    </row>
    <row r="242" spans="1:21" x14ac:dyDescent="0.25">
      <c r="A242" t="s">
        <v>257</v>
      </c>
      <c r="B242" t="s">
        <v>322</v>
      </c>
      <c r="C242" t="s">
        <v>75</v>
      </c>
      <c r="D242" t="s">
        <v>76</v>
      </c>
      <c r="E242" t="s">
        <v>257</v>
      </c>
      <c r="F242">
        <v>6168.429999999999</v>
      </c>
      <c r="G242">
        <v>7295</v>
      </c>
      <c r="H242" t="s">
        <v>257</v>
      </c>
      <c r="I242" s="35" t="s">
        <v>257</v>
      </c>
      <c r="J242">
        <v>1126.5700000000006</v>
      </c>
      <c r="K242" t="s">
        <v>257</v>
      </c>
      <c r="L242" t="s">
        <v>257</v>
      </c>
      <c r="M242" t="s">
        <v>257</v>
      </c>
      <c r="N242" t="s">
        <v>257</v>
      </c>
      <c r="O242" t="s">
        <v>257</v>
      </c>
      <c r="P242" t="s">
        <v>257</v>
      </c>
      <c r="Q242" t="s">
        <v>257</v>
      </c>
      <c r="R242" t="s">
        <v>257</v>
      </c>
      <c r="S242" t="s">
        <v>257</v>
      </c>
      <c r="T242" t="s">
        <v>257</v>
      </c>
      <c r="U242" t="s">
        <v>257</v>
      </c>
    </row>
    <row r="243" spans="1:21" x14ac:dyDescent="0.25">
      <c r="A243" t="s">
        <v>257</v>
      </c>
      <c r="B243" t="s">
        <v>323</v>
      </c>
      <c r="C243" t="s">
        <v>77</v>
      </c>
      <c r="D243" t="s">
        <v>78</v>
      </c>
      <c r="E243" t="s">
        <v>257</v>
      </c>
      <c r="F243">
        <v>3986.54</v>
      </c>
      <c r="G243">
        <v>5895</v>
      </c>
      <c r="H243" t="s">
        <v>257</v>
      </c>
      <c r="I243" s="35" t="s">
        <v>257</v>
      </c>
      <c r="J243">
        <v>1908.46</v>
      </c>
      <c r="K243" t="s">
        <v>257</v>
      </c>
      <c r="L243" t="s">
        <v>257</v>
      </c>
      <c r="M243" t="s">
        <v>257</v>
      </c>
      <c r="N243" t="s">
        <v>257</v>
      </c>
      <c r="O243" t="s">
        <v>257</v>
      </c>
      <c r="P243" t="s">
        <v>257</v>
      </c>
      <c r="Q243" t="s">
        <v>257</v>
      </c>
      <c r="R243" t="s">
        <v>257</v>
      </c>
      <c r="S243" t="s">
        <v>257</v>
      </c>
      <c r="T243" t="s">
        <v>257</v>
      </c>
      <c r="U243" t="s">
        <v>257</v>
      </c>
    </row>
    <row r="244" spans="1:21" x14ac:dyDescent="0.25">
      <c r="A244" t="s">
        <v>257</v>
      </c>
      <c r="B244" t="s">
        <v>287</v>
      </c>
      <c r="C244" t="s">
        <v>69</v>
      </c>
      <c r="D244" t="s">
        <v>70</v>
      </c>
      <c r="E244" t="s">
        <v>257</v>
      </c>
      <c r="F244">
        <v>1359.7</v>
      </c>
      <c r="G244">
        <v>2217</v>
      </c>
      <c r="H244" t="s">
        <v>257</v>
      </c>
      <c r="I244" s="35" t="s">
        <v>257</v>
      </c>
      <c r="J244">
        <v>857.3</v>
      </c>
      <c r="K244" t="s">
        <v>257</v>
      </c>
      <c r="L244" t="s">
        <v>257</v>
      </c>
      <c r="M244" t="s">
        <v>257</v>
      </c>
      <c r="N244" t="s">
        <v>257</v>
      </c>
      <c r="O244" t="s">
        <v>257</v>
      </c>
      <c r="P244" t="s">
        <v>257</v>
      </c>
      <c r="Q244" t="s">
        <v>257</v>
      </c>
      <c r="R244" t="s">
        <v>257</v>
      </c>
      <c r="S244" t="s">
        <v>257</v>
      </c>
      <c r="T244" t="s">
        <v>257</v>
      </c>
      <c r="U244" t="s">
        <v>257</v>
      </c>
    </row>
    <row r="245" spans="1:21" x14ac:dyDescent="0.25">
      <c r="A245" t="s">
        <v>257</v>
      </c>
      <c r="B245" t="s">
        <v>79</v>
      </c>
      <c r="C245" t="s">
        <v>80</v>
      </c>
      <c r="D245" t="s">
        <v>81</v>
      </c>
      <c r="E245" t="s">
        <v>257</v>
      </c>
      <c r="F245">
        <v>1690.46</v>
      </c>
      <c r="G245">
        <v>3200</v>
      </c>
      <c r="H245" t="s">
        <v>257</v>
      </c>
      <c r="I245" s="35" t="s">
        <v>257</v>
      </c>
      <c r="J245">
        <v>1509.54</v>
      </c>
      <c r="K245" t="s">
        <v>257</v>
      </c>
      <c r="L245" t="s">
        <v>257</v>
      </c>
      <c r="M245" t="s">
        <v>257</v>
      </c>
      <c r="N245" t="s">
        <v>257</v>
      </c>
      <c r="O245" t="s">
        <v>257</v>
      </c>
      <c r="P245" t="s">
        <v>257</v>
      </c>
      <c r="Q245" t="s">
        <v>257</v>
      </c>
      <c r="R245" t="s">
        <v>257</v>
      </c>
      <c r="S245" t="s">
        <v>257</v>
      </c>
      <c r="T245" t="s">
        <v>257</v>
      </c>
      <c r="U245" t="s">
        <v>257</v>
      </c>
    </row>
    <row r="246" spans="1:21" x14ac:dyDescent="0.25">
      <c r="A246" t="s">
        <v>257</v>
      </c>
      <c r="B246" t="s">
        <v>82</v>
      </c>
      <c r="C246" t="s">
        <v>83</v>
      </c>
      <c r="D246" t="s">
        <v>74</v>
      </c>
      <c r="E246" t="s">
        <v>257</v>
      </c>
      <c r="F246">
        <v>1741.67</v>
      </c>
      <c r="G246">
        <v>2295</v>
      </c>
      <c r="H246" t="s">
        <v>257</v>
      </c>
      <c r="I246" s="35" t="s">
        <v>257</v>
      </c>
      <c r="J246">
        <v>553.3299999999999</v>
      </c>
      <c r="K246" t="s">
        <v>257</v>
      </c>
      <c r="L246" t="s">
        <v>257</v>
      </c>
      <c r="M246" t="s">
        <v>257</v>
      </c>
      <c r="N246" t="s">
        <v>257</v>
      </c>
      <c r="O246" t="s">
        <v>257</v>
      </c>
      <c r="P246" t="s">
        <v>257</v>
      </c>
      <c r="Q246" t="s">
        <v>257</v>
      </c>
      <c r="R246" t="s">
        <v>257</v>
      </c>
      <c r="S246" t="s">
        <v>257</v>
      </c>
      <c r="T246" t="s">
        <v>257</v>
      </c>
      <c r="U246" t="s">
        <v>257</v>
      </c>
    </row>
    <row r="247" spans="1:21" x14ac:dyDescent="0.25">
      <c r="A247" t="s">
        <v>257</v>
      </c>
      <c r="B247" t="s">
        <v>84</v>
      </c>
      <c r="C247" t="s">
        <v>85</v>
      </c>
      <c r="D247" t="s">
        <v>86</v>
      </c>
      <c r="E247" t="s">
        <v>257</v>
      </c>
      <c r="F247">
        <v>1719.95</v>
      </c>
      <c r="G247">
        <v>2900</v>
      </c>
      <c r="H247" t="s">
        <v>257</v>
      </c>
      <c r="I247" s="35" t="s">
        <v>257</v>
      </c>
      <c r="J247">
        <v>1180.05</v>
      </c>
      <c r="K247" t="s">
        <v>257</v>
      </c>
      <c r="L247" t="s">
        <v>257</v>
      </c>
      <c r="M247" t="s">
        <v>257</v>
      </c>
      <c r="N247" t="s">
        <v>257</v>
      </c>
      <c r="O247" t="s">
        <v>257</v>
      </c>
      <c r="P247" t="s">
        <v>257</v>
      </c>
      <c r="Q247" t="s">
        <v>257</v>
      </c>
      <c r="R247" t="s">
        <v>257</v>
      </c>
      <c r="S247" t="s">
        <v>257</v>
      </c>
      <c r="T247" t="s">
        <v>257</v>
      </c>
      <c r="U247" t="s">
        <v>257</v>
      </c>
    </row>
    <row r="248" spans="1:21" x14ac:dyDescent="0.25">
      <c r="A248" t="s">
        <v>257</v>
      </c>
      <c r="B248" t="s">
        <v>87</v>
      </c>
      <c r="C248" t="s">
        <v>88</v>
      </c>
      <c r="D248" t="s">
        <v>86</v>
      </c>
      <c r="E248" t="s">
        <v>257</v>
      </c>
      <c r="F248">
        <v>3104.93</v>
      </c>
      <c r="G248">
        <v>4565</v>
      </c>
      <c r="H248" t="s">
        <v>257</v>
      </c>
      <c r="I248" s="35" t="s">
        <v>257</v>
      </c>
      <c r="J248">
        <v>1460.0700000000002</v>
      </c>
      <c r="K248" t="s">
        <v>257</v>
      </c>
      <c r="L248" t="s">
        <v>257</v>
      </c>
      <c r="M248" t="s">
        <v>257</v>
      </c>
      <c r="N248" t="s">
        <v>257</v>
      </c>
      <c r="O248" t="s">
        <v>257</v>
      </c>
      <c r="P248" t="s">
        <v>257</v>
      </c>
      <c r="Q248" t="s">
        <v>257</v>
      </c>
      <c r="R248" t="s">
        <v>257</v>
      </c>
      <c r="S248" t="s">
        <v>257</v>
      </c>
      <c r="T248" t="s">
        <v>257</v>
      </c>
      <c r="U248" t="s">
        <v>257</v>
      </c>
    </row>
    <row r="249" spans="1:21" x14ac:dyDescent="0.25">
      <c r="A249" t="s">
        <v>257</v>
      </c>
      <c r="B249" t="s">
        <v>286</v>
      </c>
      <c r="C249" t="s">
        <v>89</v>
      </c>
      <c r="D249" t="s">
        <v>90</v>
      </c>
      <c r="E249" t="s">
        <v>257</v>
      </c>
      <c r="F249">
        <v>3530.94</v>
      </c>
      <c r="G249">
        <v>3995</v>
      </c>
      <c r="H249" t="s">
        <v>257</v>
      </c>
      <c r="I249" s="35" t="s">
        <v>257</v>
      </c>
      <c r="J249">
        <v>464.05999999999995</v>
      </c>
      <c r="K249" t="s">
        <v>257</v>
      </c>
      <c r="L249" t="s">
        <v>257</v>
      </c>
      <c r="M249" t="s">
        <v>257</v>
      </c>
      <c r="N249" t="s">
        <v>257</v>
      </c>
      <c r="O249" t="s">
        <v>257</v>
      </c>
      <c r="P249" t="s">
        <v>257</v>
      </c>
      <c r="Q249" t="s">
        <v>257</v>
      </c>
      <c r="R249" t="s">
        <v>257</v>
      </c>
      <c r="S249" t="s">
        <v>257</v>
      </c>
      <c r="T249" t="s">
        <v>257</v>
      </c>
      <c r="U249" t="s">
        <v>257</v>
      </c>
    </row>
    <row r="250" spans="1:21" x14ac:dyDescent="0.25">
      <c r="A250" t="s">
        <v>257</v>
      </c>
      <c r="B250" t="s">
        <v>324</v>
      </c>
      <c r="C250" t="s">
        <v>91</v>
      </c>
      <c r="D250" t="s">
        <v>92</v>
      </c>
      <c r="E250" t="s">
        <v>257</v>
      </c>
      <c r="F250">
        <v>2450.67</v>
      </c>
      <c r="G250">
        <v>4000</v>
      </c>
      <c r="H250" t="s">
        <v>257</v>
      </c>
      <c r="I250" s="35" t="s">
        <v>257</v>
      </c>
      <c r="J250">
        <v>1549.33</v>
      </c>
      <c r="K250" t="s">
        <v>257</v>
      </c>
      <c r="L250" t="s">
        <v>257</v>
      </c>
      <c r="M250" t="s">
        <v>257</v>
      </c>
      <c r="N250" t="s">
        <v>257</v>
      </c>
      <c r="O250" t="s">
        <v>257</v>
      </c>
      <c r="P250" t="s">
        <v>257</v>
      </c>
      <c r="Q250" t="s">
        <v>257</v>
      </c>
      <c r="R250" t="s">
        <v>257</v>
      </c>
      <c r="S250" t="s">
        <v>257</v>
      </c>
      <c r="T250" t="s">
        <v>257</v>
      </c>
      <c r="U250" t="s">
        <v>257</v>
      </c>
    </row>
    <row r="251" spans="1:21" x14ac:dyDescent="0.25">
      <c r="A251" t="s">
        <v>257</v>
      </c>
      <c r="B251" t="s">
        <v>325</v>
      </c>
      <c r="C251" t="s">
        <v>93</v>
      </c>
      <c r="D251" t="s">
        <v>94</v>
      </c>
      <c r="E251" t="s">
        <v>257</v>
      </c>
      <c r="F251">
        <v>1649.24</v>
      </c>
      <c r="G251">
        <v>2600</v>
      </c>
      <c r="H251" t="s">
        <v>257</v>
      </c>
      <c r="I251" s="35" t="s">
        <v>257</v>
      </c>
      <c r="J251">
        <v>950.76</v>
      </c>
      <c r="K251" t="s">
        <v>257</v>
      </c>
      <c r="L251" t="s">
        <v>257</v>
      </c>
      <c r="M251" t="s">
        <v>257</v>
      </c>
      <c r="N251" t="s">
        <v>257</v>
      </c>
      <c r="O251" t="s">
        <v>257</v>
      </c>
      <c r="P251" t="s">
        <v>257</v>
      </c>
      <c r="Q251" t="s">
        <v>257</v>
      </c>
      <c r="R251" t="s">
        <v>257</v>
      </c>
      <c r="S251" t="s">
        <v>257</v>
      </c>
      <c r="T251" t="s">
        <v>257</v>
      </c>
      <c r="U251" t="s">
        <v>257</v>
      </c>
    </row>
    <row r="252" spans="1:21" x14ac:dyDescent="0.25">
      <c r="A252" t="s">
        <v>257</v>
      </c>
      <c r="B252" t="s">
        <v>326</v>
      </c>
      <c r="C252" t="s">
        <v>95</v>
      </c>
      <c r="D252" t="s">
        <v>96</v>
      </c>
      <c r="E252" t="s">
        <v>257</v>
      </c>
      <c r="F252">
        <v>1051.16</v>
      </c>
      <c r="G252">
        <v>2400</v>
      </c>
      <c r="H252" t="s">
        <v>257</v>
      </c>
      <c r="I252" s="35" t="s">
        <v>257</v>
      </c>
      <c r="J252">
        <v>1348.84</v>
      </c>
      <c r="K252" t="s">
        <v>257</v>
      </c>
      <c r="L252" t="s">
        <v>257</v>
      </c>
      <c r="M252" t="s">
        <v>257</v>
      </c>
      <c r="N252" t="s">
        <v>257</v>
      </c>
      <c r="O252" t="s">
        <v>257</v>
      </c>
      <c r="P252" t="s">
        <v>257</v>
      </c>
      <c r="Q252" t="s">
        <v>257</v>
      </c>
      <c r="R252" t="s">
        <v>257</v>
      </c>
      <c r="S252" t="s">
        <v>257</v>
      </c>
      <c r="T252" t="s">
        <v>257</v>
      </c>
      <c r="U252" t="s">
        <v>257</v>
      </c>
    </row>
    <row r="253" spans="1:21" x14ac:dyDescent="0.25">
      <c r="A253" t="s">
        <v>257</v>
      </c>
      <c r="B253" t="s">
        <v>327</v>
      </c>
      <c r="C253" t="s">
        <v>97</v>
      </c>
      <c r="D253" t="s">
        <v>98</v>
      </c>
      <c r="E253" t="s">
        <v>257</v>
      </c>
      <c r="F253">
        <v>910.3100000000001</v>
      </c>
      <c r="G253">
        <v>1995</v>
      </c>
      <c r="H253" t="s">
        <v>257</v>
      </c>
      <c r="I253" s="35" t="s">
        <v>257</v>
      </c>
      <c r="J253">
        <v>1084.69</v>
      </c>
      <c r="K253" t="s">
        <v>257</v>
      </c>
      <c r="L253" t="s">
        <v>257</v>
      </c>
      <c r="M253" t="s">
        <v>257</v>
      </c>
      <c r="N253" t="s">
        <v>257</v>
      </c>
      <c r="O253" t="s">
        <v>257</v>
      </c>
      <c r="P253" t="s">
        <v>257</v>
      </c>
      <c r="Q253" t="s">
        <v>257</v>
      </c>
      <c r="R253" t="s">
        <v>257</v>
      </c>
      <c r="S253" t="s">
        <v>257</v>
      </c>
      <c r="T253" t="s">
        <v>257</v>
      </c>
      <c r="U253" t="s">
        <v>257</v>
      </c>
    </row>
    <row r="254" spans="1:21" x14ac:dyDescent="0.25">
      <c r="A254" t="s">
        <v>257</v>
      </c>
      <c r="B254" t="s">
        <v>328</v>
      </c>
      <c r="C254" t="s">
        <v>99</v>
      </c>
      <c r="D254" t="s">
        <v>100</v>
      </c>
      <c r="E254" t="s">
        <v>257</v>
      </c>
      <c r="F254">
        <v>3434.130000000001</v>
      </c>
      <c r="G254">
        <v>5995</v>
      </c>
      <c r="H254" t="s">
        <v>257</v>
      </c>
      <c r="I254" s="35" t="s">
        <v>257</v>
      </c>
      <c r="J254">
        <v>2560.869999999999</v>
      </c>
      <c r="K254" t="s">
        <v>257</v>
      </c>
      <c r="L254" t="s">
        <v>257</v>
      </c>
      <c r="M254" t="s">
        <v>257</v>
      </c>
      <c r="N254" t="s">
        <v>257</v>
      </c>
      <c r="O254" t="s">
        <v>257</v>
      </c>
      <c r="P254" t="s">
        <v>257</v>
      </c>
      <c r="Q254" t="s">
        <v>257</v>
      </c>
      <c r="R254" t="s">
        <v>257</v>
      </c>
      <c r="S254" t="s">
        <v>257</v>
      </c>
      <c r="T254" t="s">
        <v>257</v>
      </c>
      <c r="U254" t="s">
        <v>257</v>
      </c>
    </row>
    <row r="255" spans="1:21" x14ac:dyDescent="0.25">
      <c r="A255" t="s">
        <v>257</v>
      </c>
      <c r="B255" t="s">
        <v>329</v>
      </c>
      <c r="C255" t="s">
        <v>101</v>
      </c>
      <c r="D255" t="s">
        <v>102</v>
      </c>
      <c r="E255" t="s">
        <v>257</v>
      </c>
      <c r="F255">
        <v>1625.91</v>
      </c>
      <c r="G255">
        <v>3100</v>
      </c>
      <c r="H255" t="s">
        <v>257</v>
      </c>
      <c r="I255" s="35" t="s">
        <v>257</v>
      </c>
      <c r="J255">
        <v>1474.09</v>
      </c>
      <c r="K255" t="s">
        <v>257</v>
      </c>
      <c r="L255" t="s">
        <v>257</v>
      </c>
      <c r="M255" t="s">
        <v>257</v>
      </c>
      <c r="N255" t="s">
        <v>257</v>
      </c>
      <c r="O255" t="s">
        <v>257</v>
      </c>
      <c r="P255" t="s">
        <v>257</v>
      </c>
      <c r="Q255" t="s">
        <v>257</v>
      </c>
      <c r="R255" t="s">
        <v>257</v>
      </c>
      <c r="S255" t="s">
        <v>257</v>
      </c>
      <c r="T255" t="s">
        <v>257</v>
      </c>
      <c r="U255" t="s">
        <v>257</v>
      </c>
    </row>
    <row r="256" spans="1:21" x14ac:dyDescent="0.25">
      <c r="A256" t="s">
        <v>257</v>
      </c>
      <c r="B256" t="s">
        <v>330</v>
      </c>
      <c r="C256" t="s">
        <v>103</v>
      </c>
      <c r="D256" t="s">
        <v>94</v>
      </c>
      <c r="E256" t="s">
        <v>257</v>
      </c>
      <c r="F256">
        <v>1964.54</v>
      </c>
      <c r="G256">
        <v>2650</v>
      </c>
      <c r="H256" t="s">
        <v>257</v>
      </c>
      <c r="I256" s="35" t="s">
        <v>257</v>
      </c>
      <c r="J256">
        <v>685.46</v>
      </c>
      <c r="K256" t="s">
        <v>257</v>
      </c>
      <c r="L256" t="s">
        <v>257</v>
      </c>
      <c r="M256" t="s">
        <v>257</v>
      </c>
      <c r="N256" t="s">
        <v>257</v>
      </c>
      <c r="O256" t="s">
        <v>257</v>
      </c>
      <c r="P256" t="s">
        <v>257</v>
      </c>
      <c r="Q256" t="s">
        <v>257</v>
      </c>
      <c r="R256" t="s">
        <v>257</v>
      </c>
      <c r="S256" t="s">
        <v>257</v>
      </c>
      <c r="T256" t="s">
        <v>257</v>
      </c>
      <c r="U256" t="s">
        <v>257</v>
      </c>
    </row>
    <row r="257" spans="1:21" x14ac:dyDescent="0.25">
      <c r="A257" t="s">
        <v>257</v>
      </c>
      <c r="B257" t="s">
        <v>257</v>
      </c>
      <c r="C257" t="s">
        <v>108</v>
      </c>
      <c r="D257" t="s">
        <v>109</v>
      </c>
      <c r="E257" t="s">
        <v>110</v>
      </c>
      <c r="F257">
        <v>4386.43</v>
      </c>
      <c r="G257">
        <v>5394</v>
      </c>
      <c r="H257" t="s">
        <v>257</v>
      </c>
      <c r="I257" s="35" t="s">
        <v>257</v>
      </c>
      <c r="J257">
        <v>1007.5699999999997</v>
      </c>
      <c r="K257" t="s">
        <v>257</v>
      </c>
      <c r="L257" t="s">
        <v>257</v>
      </c>
      <c r="M257" t="s">
        <v>257</v>
      </c>
      <c r="N257" t="s">
        <v>257</v>
      </c>
      <c r="O257" t="s">
        <v>257</v>
      </c>
      <c r="P257" t="s">
        <v>257</v>
      </c>
      <c r="Q257" t="s">
        <v>257</v>
      </c>
      <c r="R257" t="s">
        <v>257</v>
      </c>
      <c r="S257" t="s">
        <v>257</v>
      </c>
      <c r="T257" t="s">
        <v>257</v>
      </c>
      <c r="U257" t="s">
        <v>257</v>
      </c>
    </row>
    <row r="258" spans="1:21" x14ac:dyDescent="0.25">
      <c r="A258" t="s">
        <v>257</v>
      </c>
      <c r="B258" t="s">
        <v>257</v>
      </c>
      <c r="C258" t="s">
        <v>139</v>
      </c>
      <c r="D258" t="s">
        <v>70</v>
      </c>
      <c r="E258" t="s">
        <v>113</v>
      </c>
      <c r="F258">
        <v>3556.6099999999997</v>
      </c>
      <c r="G258">
        <v>3815</v>
      </c>
      <c r="H258" t="s">
        <v>257</v>
      </c>
      <c r="I258" s="35" t="s">
        <v>257</v>
      </c>
      <c r="J258">
        <v>258.3900000000003</v>
      </c>
      <c r="K258" t="s">
        <v>257</v>
      </c>
      <c r="L258" t="s">
        <v>257</v>
      </c>
      <c r="M258" t="s">
        <v>257</v>
      </c>
      <c r="N258" t="s">
        <v>257</v>
      </c>
      <c r="O258" t="s">
        <v>257</v>
      </c>
      <c r="P258" t="s">
        <v>257</v>
      </c>
      <c r="Q258" t="s">
        <v>257</v>
      </c>
      <c r="R258" t="s">
        <v>257</v>
      </c>
      <c r="S258" t="s">
        <v>257</v>
      </c>
      <c r="T258" t="s">
        <v>257</v>
      </c>
      <c r="U258" t="s">
        <v>257</v>
      </c>
    </row>
    <row r="259" spans="1:21" x14ac:dyDescent="0.25">
      <c r="A259" t="s">
        <v>257</v>
      </c>
      <c r="B259" t="s">
        <v>257</v>
      </c>
      <c r="C259" t="s">
        <v>141</v>
      </c>
      <c r="D259" t="s">
        <v>142</v>
      </c>
      <c r="E259" t="s">
        <v>113</v>
      </c>
      <c r="F259">
        <v>5248.403333333334</v>
      </c>
      <c r="G259">
        <v>7495</v>
      </c>
      <c r="H259" t="s">
        <v>257</v>
      </c>
      <c r="I259" s="35" t="s">
        <v>257</v>
      </c>
      <c r="J259">
        <v>2246.5966666666664</v>
      </c>
      <c r="K259" t="s">
        <v>257</v>
      </c>
      <c r="L259" t="s">
        <v>257</v>
      </c>
      <c r="M259" t="s">
        <v>257</v>
      </c>
      <c r="N259" t="s">
        <v>257</v>
      </c>
      <c r="O259" t="s">
        <v>257</v>
      </c>
      <c r="P259" t="s">
        <v>257</v>
      </c>
      <c r="Q259" t="s">
        <v>257</v>
      </c>
      <c r="R259" t="s">
        <v>257</v>
      </c>
      <c r="S259" t="s">
        <v>257</v>
      </c>
      <c r="T259" t="s">
        <v>257</v>
      </c>
      <c r="U259" t="s">
        <v>257</v>
      </c>
    </row>
    <row r="260" spans="1:21" x14ac:dyDescent="0.25">
      <c r="A260" t="s">
        <v>257</v>
      </c>
      <c r="B260" t="s">
        <v>257</v>
      </c>
      <c r="C260" t="s">
        <v>144</v>
      </c>
      <c r="D260" t="s">
        <v>122</v>
      </c>
      <c r="E260" t="s">
        <v>106</v>
      </c>
      <c r="F260">
        <v>4818.143333333333</v>
      </c>
      <c r="G260">
        <v>5995</v>
      </c>
      <c r="H260" t="s">
        <v>257</v>
      </c>
      <c r="I260" s="35" t="s">
        <v>257</v>
      </c>
      <c r="J260">
        <v>1176.8566666666666</v>
      </c>
      <c r="K260" t="s">
        <v>257</v>
      </c>
      <c r="L260" t="s">
        <v>257</v>
      </c>
      <c r="M260" t="s">
        <v>257</v>
      </c>
      <c r="N260" t="s">
        <v>257</v>
      </c>
      <c r="O260" t="s">
        <v>257</v>
      </c>
      <c r="P260" t="s">
        <v>257</v>
      </c>
      <c r="Q260" t="s">
        <v>257</v>
      </c>
      <c r="R260" t="s">
        <v>257</v>
      </c>
      <c r="S260" t="s">
        <v>257</v>
      </c>
      <c r="T260" t="s">
        <v>257</v>
      </c>
      <c r="U260" t="s">
        <v>257</v>
      </c>
    </row>
    <row r="261" spans="1:21" x14ac:dyDescent="0.25">
      <c r="A261" t="s">
        <v>257</v>
      </c>
      <c r="B261" t="s">
        <v>257</v>
      </c>
      <c r="C261" t="s">
        <v>145</v>
      </c>
      <c r="D261" t="s">
        <v>146</v>
      </c>
      <c r="E261" t="s">
        <v>129</v>
      </c>
      <c r="F261">
        <v>4399.21</v>
      </c>
      <c r="G261">
        <v>7250</v>
      </c>
      <c r="H261" t="s">
        <v>257</v>
      </c>
      <c r="I261" s="35" t="s">
        <v>257</v>
      </c>
      <c r="J261">
        <v>2850.79</v>
      </c>
      <c r="K261" t="s">
        <v>257</v>
      </c>
      <c r="L261" t="s">
        <v>257</v>
      </c>
      <c r="M261" t="s">
        <v>257</v>
      </c>
      <c r="N261" t="s">
        <v>257</v>
      </c>
      <c r="O261" t="s">
        <v>257</v>
      </c>
      <c r="P261" t="s">
        <v>257</v>
      </c>
      <c r="Q261" t="s">
        <v>257</v>
      </c>
      <c r="R261" t="s">
        <v>257</v>
      </c>
      <c r="S261" t="s">
        <v>257</v>
      </c>
      <c r="T261" t="s">
        <v>257</v>
      </c>
      <c r="U261" t="s">
        <v>257</v>
      </c>
    </row>
    <row r="262" spans="1:21" x14ac:dyDescent="0.25">
      <c r="A262" t="s">
        <v>257</v>
      </c>
      <c r="B262" t="s">
        <v>257</v>
      </c>
      <c r="C262" t="s">
        <v>147</v>
      </c>
      <c r="D262" t="s">
        <v>148</v>
      </c>
      <c r="E262" t="s">
        <v>107</v>
      </c>
      <c r="F262">
        <v>8</v>
      </c>
      <c r="G262">
        <v>1995</v>
      </c>
      <c r="H262" t="s">
        <v>257</v>
      </c>
      <c r="I262" s="35" t="s">
        <v>257</v>
      </c>
      <c r="J262">
        <v>1987</v>
      </c>
      <c r="K262" t="s">
        <v>257</v>
      </c>
      <c r="L262" t="s">
        <v>257</v>
      </c>
      <c r="M262" t="s">
        <v>257</v>
      </c>
      <c r="N262" t="s">
        <v>257</v>
      </c>
      <c r="O262" t="s">
        <v>257</v>
      </c>
      <c r="P262" t="s">
        <v>257</v>
      </c>
      <c r="Q262" t="s">
        <v>257</v>
      </c>
      <c r="R262" t="s">
        <v>257</v>
      </c>
      <c r="S262" t="s">
        <v>257</v>
      </c>
      <c r="T262" t="s">
        <v>257</v>
      </c>
      <c r="U262" t="s">
        <v>257</v>
      </c>
    </row>
    <row r="263" spans="1:21" x14ac:dyDescent="0.25">
      <c r="A263" t="s">
        <v>257</v>
      </c>
      <c r="B263" t="s">
        <v>257</v>
      </c>
      <c r="C263" t="s">
        <v>149</v>
      </c>
      <c r="D263" t="s">
        <v>150</v>
      </c>
      <c r="E263" t="s">
        <v>107</v>
      </c>
      <c r="F263">
        <v>3730.74</v>
      </c>
      <c r="G263">
        <v>5400</v>
      </c>
      <c r="H263" t="s">
        <v>257</v>
      </c>
      <c r="I263" s="35" t="s">
        <v>257</v>
      </c>
      <c r="J263">
        <v>1669.2600000000002</v>
      </c>
      <c r="K263" t="s">
        <v>257</v>
      </c>
      <c r="L263" t="s">
        <v>257</v>
      </c>
      <c r="M263" t="s">
        <v>257</v>
      </c>
      <c r="N263" t="s">
        <v>257</v>
      </c>
      <c r="O263" t="s">
        <v>257</v>
      </c>
      <c r="P263" t="s">
        <v>257</v>
      </c>
      <c r="Q263" t="s">
        <v>257</v>
      </c>
      <c r="R263" t="s">
        <v>257</v>
      </c>
      <c r="S263" t="s">
        <v>257</v>
      </c>
      <c r="T263" t="s">
        <v>257</v>
      </c>
      <c r="U263" t="s">
        <v>257</v>
      </c>
    </row>
    <row r="264" spans="1:21" x14ac:dyDescent="0.25">
      <c r="A264" t="s">
        <v>257</v>
      </c>
      <c r="B264" t="s">
        <v>257</v>
      </c>
      <c r="C264" t="s">
        <v>155</v>
      </c>
      <c r="D264" t="s">
        <v>156</v>
      </c>
      <c r="E264" t="s">
        <v>129</v>
      </c>
      <c r="F264">
        <v>4528.8</v>
      </c>
      <c r="G264">
        <v>6595</v>
      </c>
      <c r="H264" t="s">
        <v>257</v>
      </c>
      <c r="I264" s="35" t="s">
        <v>257</v>
      </c>
      <c r="J264">
        <v>2066.2</v>
      </c>
      <c r="K264" t="s">
        <v>257</v>
      </c>
      <c r="L264" t="s">
        <v>257</v>
      </c>
      <c r="M264" t="s">
        <v>257</v>
      </c>
      <c r="N264" t="s">
        <v>257</v>
      </c>
      <c r="O264" t="s">
        <v>257</v>
      </c>
      <c r="P264" t="s">
        <v>257</v>
      </c>
      <c r="Q264" t="s">
        <v>257</v>
      </c>
      <c r="R264" t="s">
        <v>257</v>
      </c>
      <c r="S264" t="s">
        <v>257</v>
      </c>
      <c r="T264" t="s">
        <v>257</v>
      </c>
      <c r="U264" t="s">
        <v>257</v>
      </c>
    </row>
    <row r="265" spans="1:21" x14ac:dyDescent="0.25">
      <c r="A265" t="s">
        <v>257</v>
      </c>
      <c r="B265" t="s">
        <v>257</v>
      </c>
      <c r="C265" t="s">
        <v>157</v>
      </c>
      <c r="D265" t="s">
        <v>158</v>
      </c>
      <c r="E265" t="s">
        <v>113</v>
      </c>
      <c r="F265">
        <v>4895.8</v>
      </c>
      <c r="G265">
        <v>7295</v>
      </c>
      <c r="H265" t="s">
        <v>257</v>
      </c>
      <c r="I265" s="35" t="s">
        <v>257</v>
      </c>
      <c r="J265">
        <v>2399.2</v>
      </c>
      <c r="K265" t="s">
        <v>257</v>
      </c>
      <c r="L265" t="s">
        <v>257</v>
      </c>
      <c r="M265" t="s">
        <v>257</v>
      </c>
      <c r="N265" t="s">
        <v>257</v>
      </c>
      <c r="O265" t="s">
        <v>257</v>
      </c>
      <c r="P265" t="s">
        <v>257</v>
      </c>
      <c r="Q265" t="s">
        <v>257</v>
      </c>
      <c r="R265" t="s">
        <v>257</v>
      </c>
      <c r="S265" t="s">
        <v>257</v>
      </c>
      <c r="T265" t="s">
        <v>257</v>
      </c>
      <c r="U265" t="s">
        <v>257</v>
      </c>
    </row>
    <row r="266" spans="1:21" x14ac:dyDescent="0.25">
      <c r="A266" t="s">
        <v>257</v>
      </c>
      <c r="B266" t="s">
        <v>257</v>
      </c>
      <c r="C266" t="s">
        <v>164</v>
      </c>
      <c r="D266" t="s">
        <v>86</v>
      </c>
      <c r="E266" t="s">
        <v>107</v>
      </c>
      <c r="F266">
        <v>783.6099999999999</v>
      </c>
      <c r="G266">
        <v>2950</v>
      </c>
      <c r="H266" t="s">
        <v>257</v>
      </c>
      <c r="I266" s="35" t="s">
        <v>257</v>
      </c>
      <c r="J266">
        <v>2166.3900000000003</v>
      </c>
      <c r="K266" t="s">
        <v>257</v>
      </c>
      <c r="L266" t="s">
        <v>257</v>
      </c>
      <c r="M266" t="s">
        <v>257</v>
      </c>
      <c r="N266" t="s">
        <v>257</v>
      </c>
      <c r="O266" t="s">
        <v>257</v>
      </c>
      <c r="P266" t="s">
        <v>257</v>
      </c>
      <c r="Q266" t="s">
        <v>257</v>
      </c>
      <c r="R266" t="s">
        <v>257</v>
      </c>
      <c r="S266" t="s">
        <v>257</v>
      </c>
      <c r="T266" t="s">
        <v>257</v>
      </c>
      <c r="U266" t="s">
        <v>257</v>
      </c>
    </row>
    <row r="267" spans="1:21" x14ac:dyDescent="0.25">
      <c r="A267" t="s">
        <v>257</v>
      </c>
      <c r="B267" t="s">
        <v>257</v>
      </c>
      <c r="C267" t="s">
        <v>165</v>
      </c>
      <c r="D267" t="s">
        <v>166</v>
      </c>
      <c r="E267" t="s">
        <v>125</v>
      </c>
      <c r="F267">
        <v>5602.543333333333</v>
      </c>
      <c r="G267">
        <v>7793.28</v>
      </c>
      <c r="H267" t="s">
        <v>257</v>
      </c>
      <c r="I267" s="35" t="s">
        <v>257</v>
      </c>
      <c r="J267">
        <v>2190.7366666666667</v>
      </c>
      <c r="K267" t="s">
        <v>257</v>
      </c>
      <c r="L267" t="s">
        <v>257</v>
      </c>
      <c r="M267" t="s">
        <v>257</v>
      </c>
      <c r="N267" t="s">
        <v>257</v>
      </c>
      <c r="O267" t="s">
        <v>257</v>
      </c>
      <c r="P267" t="s">
        <v>257</v>
      </c>
      <c r="Q267" t="s">
        <v>257</v>
      </c>
      <c r="R267" t="s">
        <v>257</v>
      </c>
      <c r="S267" t="s">
        <v>257</v>
      </c>
      <c r="T267" t="s">
        <v>257</v>
      </c>
      <c r="U267" t="s">
        <v>257</v>
      </c>
    </row>
    <row r="268" spans="1:21" x14ac:dyDescent="0.25">
      <c r="A268" t="s">
        <v>257</v>
      </c>
      <c r="B268" t="s">
        <v>278</v>
      </c>
      <c r="C268" t="s">
        <v>181</v>
      </c>
      <c r="D268" t="s">
        <v>182</v>
      </c>
      <c r="E268" t="s">
        <v>125</v>
      </c>
      <c r="F268">
        <v>4783.32</v>
      </c>
      <c r="G268">
        <v>6995</v>
      </c>
      <c r="H268" t="s">
        <v>257</v>
      </c>
      <c r="I268" s="35" t="s">
        <v>257</v>
      </c>
      <c r="J268">
        <v>2211.6800000000003</v>
      </c>
      <c r="K268" t="s">
        <v>257</v>
      </c>
      <c r="L268" t="s">
        <v>257</v>
      </c>
      <c r="M268" t="s">
        <v>257</v>
      </c>
      <c r="N268" t="s">
        <v>257</v>
      </c>
      <c r="O268" t="s">
        <v>257</v>
      </c>
      <c r="P268" t="s">
        <v>257</v>
      </c>
      <c r="Q268" t="s">
        <v>257</v>
      </c>
      <c r="R268" t="s">
        <v>257</v>
      </c>
      <c r="S268" t="s">
        <v>257</v>
      </c>
      <c r="T268" t="s">
        <v>257</v>
      </c>
      <c r="U268" t="s">
        <v>257</v>
      </c>
    </row>
    <row r="269" spans="1:21" x14ac:dyDescent="0.25">
      <c r="A269" t="s">
        <v>257</v>
      </c>
      <c r="B269" t="s">
        <v>258</v>
      </c>
      <c r="C269" t="s">
        <v>191</v>
      </c>
      <c r="D269" t="s">
        <v>131</v>
      </c>
      <c r="E269" t="s">
        <v>113</v>
      </c>
      <c r="F269">
        <v>7792.2</v>
      </c>
      <c r="G269">
        <v>9795</v>
      </c>
      <c r="H269" t="s">
        <v>257</v>
      </c>
      <c r="I269" s="35" t="s">
        <v>257</v>
      </c>
      <c r="J269">
        <v>2002.8000000000002</v>
      </c>
      <c r="K269" t="s">
        <v>257</v>
      </c>
      <c r="L269" t="s">
        <v>257</v>
      </c>
      <c r="M269" t="s">
        <v>257</v>
      </c>
      <c r="N269" t="s">
        <v>257</v>
      </c>
      <c r="O269" t="s">
        <v>257</v>
      </c>
      <c r="P269" t="s">
        <v>257</v>
      </c>
      <c r="Q269" t="s">
        <v>257</v>
      </c>
      <c r="R269" t="s">
        <v>257</v>
      </c>
      <c r="S269" t="s">
        <v>257</v>
      </c>
      <c r="T269" t="s">
        <v>257</v>
      </c>
      <c r="U269" t="s">
        <v>257</v>
      </c>
    </row>
    <row r="270" spans="1:21" x14ac:dyDescent="0.25">
      <c r="A270" t="s">
        <v>257</v>
      </c>
      <c r="B270" t="s">
        <v>261</v>
      </c>
      <c r="C270" t="s">
        <v>193</v>
      </c>
      <c r="D270" t="s">
        <v>194</v>
      </c>
      <c r="E270" t="s">
        <v>125</v>
      </c>
      <c r="F270">
        <v>5238.035</v>
      </c>
      <c r="G270">
        <v>6995</v>
      </c>
      <c r="H270" t="s">
        <v>257</v>
      </c>
      <c r="I270" s="35" t="s">
        <v>257</v>
      </c>
      <c r="J270">
        <v>1756.9650000000001</v>
      </c>
      <c r="K270" t="s">
        <v>257</v>
      </c>
      <c r="L270" t="s">
        <v>257</v>
      </c>
      <c r="M270" t="s">
        <v>257</v>
      </c>
      <c r="N270" t="s">
        <v>257</v>
      </c>
      <c r="O270" t="s">
        <v>257</v>
      </c>
      <c r="P270" t="s">
        <v>257</v>
      </c>
      <c r="Q270" t="s">
        <v>257</v>
      </c>
      <c r="R270" t="s">
        <v>257</v>
      </c>
      <c r="S270" t="s">
        <v>257</v>
      </c>
      <c r="T270" t="s">
        <v>257</v>
      </c>
      <c r="U270" t="s">
        <v>257</v>
      </c>
    </row>
    <row r="271" spans="1:21" x14ac:dyDescent="0.25">
      <c r="A271" t="s">
        <v>257</v>
      </c>
      <c r="B271" t="s">
        <v>269</v>
      </c>
      <c r="C271" t="s">
        <v>195</v>
      </c>
      <c r="D271" t="s">
        <v>122</v>
      </c>
      <c r="E271" t="s">
        <v>110</v>
      </c>
      <c r="F271">
        <v>4279.18</v>
      </c>
      <c r="G271">
        <v>5400</v>
      </c>
      <c r="H271" t="s">
        <v>257</v>
      </c>
      <c r="I271" s="35" t="s">
        <v>257</v>
      </c>
      <c r="J271">
        <v>1120.8199999999997</v>
      </c>
      <c r="K271" t="s">
        <v>257</v>
      </c>
      <c r="L271" t="s">
        <v>257</v>
      </c>
      <c r="M271" t="s">
        <v>257</v>
      </c>
      <c r="N271" t="s">
        <v>257</v>
      </c>
      <c r="O271" t="s">
        <v>257</v>
      </c>
      <c r="P271" t="s">
        <v>257</v>
      </c>
      <c r="Q271" t="s">
        <v>257</v>
      </c>
      <c r="R271" t="s">
        <v>257</v>
      </c>
      <c r="S271" t="s">
        <v>257</v>
      </c>
      <c r="T271" t="s">
        <v>257</v>
      </c>
      <c r="U271" t="s">
        <v>257</v>
      </c>
    </row>
    <row r="272" spans="1:21" x14ac:dyDescent="0.25">
      <c r="A272" t="s">
        <v>257</v>
      </c>
      <c r="B272" t="s">
        <v>331</v>
      </c>
      <c r="C272" t="s">
        <v>196</v>
      </c>
      <c r="D272" t="s">
        <v>197</v>
      </c>
      <c r="E272" t="s">
        <v>110</v>
      </c>
      <c r="F272">
        <v>3526.9366666666665</v>
      </c>
      <c r="G272">
        <v>5000</v>
      </c>
      <c r="H272" t="s">
        <v>257</v>
      </c>
      <c r="I272" s="35" t="s">
        <v>257</v>
      </c>
      <c r="J272">
        <v>1473.0633333333335</v>
      </c>
      <c r="K272" t="s">
        <v>257</v>
      </c>
      <c r="L272" t="s">
        <v>257</v>
      </c>
      <c r="M272" t="s">
        <v>257</v>
      </c>
      <c r="N272" t="s">
        <v>257</v>
      </c>
      <c r="O272" t="s">
        <v>257</v>
      </c>
      <c r="P272" t="s">
        <v>257</v>
      </c>
      <c r="Q272" t="s">
        <v>257</v>
      </c>
      <c r="R272" t="s">
        <v>257</v>
      </c>
      <c r="S272" t="s">
        <v>257</v>
      </c>
      <c r="T272" t="s">
        <v>257</v>
      </c>
      <c r="U272" t="s">
        <v>257</v>
      </c>
    </row>
    <row r="273" spans="1:21" x14ac:dyDescent="0.25">
      <c r="A273" t="s">
        <v>257</v>
      </c>
      <c r="B273" t="s">
        <v>332</v>
      </c>
      <c r="C273" t="s">
        <v>198</v>
      </c>
      <c r="D273" t="s">
        <v>199</v>
      </c>
      <c r="E273" t="s">
        <v>110</v>
      </c>
      <c r="F273">
        <v>4642.52</v>
      </c>
      <c r="G273">
        <v>5795</v>
      </c>
      <c r="H273" t="s">
        <v>257</v>
      </c>
      <c r="I273" s="35" t="s">
        <v>257</v>
      </c>
      <c r="J273">
        <v>1152.4799999999996</v>
      </c>
      <c r="K273" t="s">
        <v>257</v>
      </c>
      <c r="L273" t="s">
        <v>257</v>
      </c>
      <c r="M273" t="s">
        <v>257</v>
      </c>
      <c r="N273" t="s">
        <v>257</v>
      </c>
      <c r="O273" t="s">
        <v>257</v>
      </c>
      <c r="P273" t="s">
        <v>257</v>
      </c>
      <c r="Q273" t="s">
        <v>257</v>
      </c>
      <c r="R273" t="s">
        <v>257</v>
      </c>
      <c r="S273" t="s">
        <v>257</v>
      </c>
      <c r="T273" t="s">
        <v>257</v>
      </c>
      <c r="U273" t="s">
        <v>257</v>
      </c>
    </row>
    <row r="274" spans="1:21" x14ac:dyDescent="0.25">
      <c r="A274" t="s">
        <v>257</v>
      </c>
      <c r="B274" t="s">
        <v>333</v>
      </c>
      <c r="C274" t="s">
        <v>228</v>
      </c>
      <c r="D274" t="s">
        <v>229</v>
      </c>
      <c r="E274" t="s">
        <v>129</v>
      </c>
      <c r="F274">
        <v>5510.52</v>
      </c>
      <c r="G274">
        <v>7795</v>
      </c>
      <c r="H274" t="s">
        <v>257</v>
      </c>
      <c r="I274" s="35" t="s">
        <v>257</v>
      </c>
      <c r="J274">
        <v>2284.4799999999996</v>
      </c>
      <c r="K274" t="s">
        <v>257</v>
      </c>
      <c r="L274" t="s">
        <v>257</v>
      </c>
      <c r="M274" t="s">
        <v>257</v>
      </c>
      <c r="N274" t="s">
        <v>257</v>
      </c>
      <c r="O274" t="s">
        <v>257</v>
      </c>
      <c r="P274" t="s">
        <v>257</v>
      </c>
      <c r="Q274" t="s">
        <v>257</v>
      </c>
      <c r="R274" t="s">
        <v>257</v>
      </c>
      <c r="S274" t="s">
        <v>257</v>
      </c>
      <c r="T274" t="s">
        <v>257</v>
      </c>
      <c r="U274" t="s">
        <v>257</v>
      </c>
    </row>
    <row r="275" spans="1:21" x14ac:dyDescent="0.25">
      <c r="A275" t="s">
        <v>257</v>
      </c>
      <c r="B275" t="s">
        <v>319</v>
      </c>
      <c r="C275" t="s">
        <v>230</v>
      </c>
      <c r="D275" t="s">
        <v>231</v>
      </c>
      <c r="E275" t="s">
        <v>129</v>
      </c>
      <c r="F275">
        <v>8246.7</v>
      </c>
      <c r="G275">
        <v>8246.7</v>
      </c>
      <c r="H275" t="s">
        <v>257</v>
      </c>
      <c r="I275" s="35" t="s">
        <v>257</v>
      </c>
      <c r="J275">
        <v>0</v>
      </c>
      <c r="K275" t="s">
        <v>257</v>
      </c>
      <c r="L275" t="s">
        <v>257</v>
      </c>
      <c r="M275" t="s">
        <v>257</v>
      </c>
      <c r="N275" t="s">
        <v>257</v>
      </c>
      <c r="O275" t="s">
        <v>257</v>
      </c>
      <c r="P275" t="s">
        <v>257</v>
      </c>
      <c r="Q275" t="s">
        <v>257</v>
      </c>
      <c r="R275" t="s">
        <v>257</v>
      </c>
      <c r="S275" t="s">
        <v>257</v>
      </c>
      <c r="T275" t="s">
        <v>257</v>
      </c>
      <c r="U275" t="s">
        <v>257</v>
      </c>
    </row>
    <row r="276" spans="1:21" x14ac:dyDescent="0.25">
      <c r="A276" t="s">
        <v>257</v>
      </c>
      <c r="B276" t="s">
        <v>266</v>
      </c>
      <c r="C276" t="s">
        <v>236</v>
      </c>
      <c r="D276" t="s">
        <v>237</v>
      </c>
      <c r="E276" t="s">
        <v>129</v>
      </c>
      <c r="F276">
        <v>6397.64</v>
      </c>
      <c r="G276">
        <v>8695</v>
      </c>
      <c r="H276" t="s">
        <v>257</v>
      </c>
      <c r="I276" s="35" t="s">
        <v>257</v>
      </c>
      <c r="J276">
        <v>2297.3599999999997</v>
      </c>
      <c r="K276" t="s">
        <v>257</v>
      </c>
      <c r="L276" t="s">
        <v>257</v>
      </c>
      <c r="M276" t="s">
        <v>257</v>
      </c>
      <c r="N276" t="s">
        <v>257</v>
      </c>
      <c r="O276" t="s">
        <v>257</v>
      </c>
      <c r="P276" t="s">
        <v>257</v>
      </c>
      <c r="Q276" t="s">
        <v>257</v>
      </c>
      <c r="R276" t="s">
        <v>257</v>
      </c>
      <c r="S276" t="s">
        <v>257</v>
      </c>
      <c r="T276" t="s">
        <v>257</v>
      </c>
      <c r="U276" t="s">
        <v>257</v>
      </c>
    </row>
    <row r="277" spans="1:21" x14ac:dyDescent="0.25">
      <c r="A277" t="s">
        <v>257</v>
      </c>
      <c r="B277" t="s">
        <v>258</v>
      </c>
      <c r="C277" t="s">
        <v>189</v>
      </c>
      <c r="D277" t="s">
        <v>190</v>
      </c>
      <c r="E277" t="s">
        <v>110</v>
      </c>
      <c r="F277">
        <v>4187.38</v>
      </c>
      <c r="G277">
        <v>6394.29</v>
      </c>
      <c r="H277" t="s">
        <v>257</v>
      </c>
      <c r="I277" s="35" t="s">
        <v>257</v>
      </c>
      <c r="J277">
        <v>2206.91</v>
      </c>
      <c r="K277" t="s">
        <v>257</v>
      </c>
      <c r="L277" t="s">
        <v>257</v>
      </c>
      <c r="M277" t="s">
        <v>257</v>
      </c>
      <c r="N277" t="s">
        <v>259</v>
      </c>
      <c r="O277" t="s">
        <v>257</v>
      </c>
      <c r="P277" t="s">
        <v>257</v>
      </c>
      <c r="Q277" t="s">
        <v>257</v>
      </c>
      <c r="R277" t="s">
        <v>257</v>
      </c>
      <c r="S277" t="s">
        <v>257</v>
      </c>
      <c r="T277" t="s">
        <v>257</v>
      </c>
      <c r="U277" t="s">
        <v>257</v>
      </c>
    </row>
    <row r="278" spans="1:21" x14ac:dyDescent="0.25">
      <c r="A278" t="s">
        <v>257</v>
      </c>
      <c r="B278" t="s">
        <v>260</v>
      </c>
      <c r="C278" t="s">
        <v>187</v>
      </c>
      <c r="D278" t="s">
        <v>119</v>
      </c>
      <c r="E278" t="s">
        <v>106</v>
      </c>
      <c r="F278">
        <v>2850.71</v>
      </c>
      <c r="G278">
        <v>5375</v>
      </c>
      <c r="H278" t="s">
        <v>257</v>
      </c>
      <c r="I278" s="35" t="s">
        <v>257</v>
      </c>
      <c r="J278">
        <v>2524.29</v>
      </c>
      <c r="K278" t="s">
        <v>257</v>
      </c>
      <c r="L278" t="s">
        <v>257</v>
      </c>
      <c r="M278" t="s">
        <v>257</v>
      </c>
      <c r="N278" t="s">
        <v>261</v>
      </c>
      <c r="O278" t="s">
        <v>257</v>
      </c>
      <c r="P278" t="s">
        <v>257</v>
      </c>
      <c r="Q278" t="s">
        <v>257</v>
      </c>
      <c r="R278" t="s">
        <v>257</v>
      </c>
      <c r="S278" t="s">
        <v>257</v>
      </c>
      <c r="T278" t="s">
        <v>257</v>
      </c>
      <c r="U278" t="s">
        <v>257</v>
      </c>
    </row>
    <row r="279" spans="1:21" x14ac:dyDescent="0.25">
      <c r="A279" t="s">
        <v>257</v>
      </c>
      <c r="B279" t="s">
        <v>262</v>
      </c>
      <c r="C279" t="s">
        <v>185</v>
      </c>
      <c r="D279" t="s">
        <v>186</v>
      </c>
      <c r="E279" t="s">
        <v>113</v>
      </c>
      <c r="F279">
        <v>5732.32</v>
      </c>
      <c r="G279">
        <v>7995</v>
      </c>
      <c r="H279" t="s">
        <v>257</v>
      </c>
      <c r="I279" s="35" t="s">
        <v>257</v>
      </c>
      <c r="J279">
        <v>2262.6800000000003</v>
      </c>
      <c r="K279" t="s">
        <v>257</v>
      </c>
      <c r="L279" t="s">
        <v>257</v>
      </c>
      <c r="M279" t="s">
        <v>257</v>
      </c>
      <c r="N279" t="s">
        <v>263</v>
      </c>
      <c r="O279" t="s">
        <v>257</v>
      </c>
      <c r="P279" t="s">
        <v>257</v>
      </c>
      <c r="Q279" t="s">
        <v>257</v>
      </c>
      <c r="R279" t="s">
        <v>257</v>
      </c>
      <c r="S279" t="s">
        <v>257</v>
      </c>
      <c r="T279" t="s">
        <v>257</v>
      </c>
      <c r="U279" t="s">
        <v>257</v>
      </c>
    </row>
    <row r="280" spans="1:21" x14ac:dyDescent="0.25">
      <c r="A280" t="s">
        <v>257</v>
      </c>
      <c r="B280" t="s">
        <v>264</v>
      </c>
      <c r="C280" t="s">
        <v>183</v>
      </c>
      <c r="D280" t="s">
        <v>184</v>
      </c>
      <c r="E280" t="s">
        <v>107</v>
      </c>
      <c r="F280">
        <v>8246.15</v>
      </c>
      <c r="G280">
        <v>6500</v>
      </c>
      <c r="H280" t="s">
        <v>257</v>
      </c>
      <c r="I280" s="35" t="s">
        <v>257</v>
      </c>
      <c r="J280">
        <v>-1746.1499999999996</v>
      </c>
      <c r="K280" t="s">
        <v>257</v>
      </c>
      <c r="L280" t="s">
        <v>257</v>
      </c>
      <c r="M280" t="s">
        <v>257</v>
      </c>
      <c r="N280" t="s">
        <v>265</v>
      </c>
      <c r="O280" t="s">
        <v>257</v>
      </c>
      <c r="P280" t="s">
        <v>257</v>
      </c>
      <c r="Q280" t="s">
        <v>257</v>
      </c>
      <c r="R280" t="s">
        <v>257</v>
      </c>
      <c r="S280" t="s">
        <v>257</v>
      </c>
      <c r="T280" t="s">
        <v>257</v>
      </c>
      <c r="U280" t="s">
        <v>257</v>
      </c>
    </row>
    <row r="281" spans="1:21" x14ac:dyDescent="0.25">
      <c r="A281" t="s">
        <v>257</v>
      </c>
      <c r="B281" t="s">
        <v>266</v>
      </c>
      <c r="C281" t="s">
        <v>179</v>
      </c>
      <c r="D281" t="s">
        <v>180</v>
      </c>
      <c r="E281" t="s">
        <v>107</v>
      </c>
      <c r="F281">
        <v>1328.74</v>
      </c>
      <c r="G281">
        <v>2000</v>
      </c>
      <c r="H281" t="s">
        <v>257</v>
      </c>
      <c r="I281" s="35" t="s">
        <v>257</v>
      </c>
      <c r="J281">
        <v>671.26</v>
      </c>
      <c r="K281" t="s">
        <v>257</v>
      </c>
      <c r="L281" t="s">
        <v>257</v>
      </c>
      <c r="M281" t="s">
        <v>257</v>
      </c>
      <c r="N281" t="s">
        <v>267</v>
      </c>
      <c r="O281" t="s">
        <v>257</v>
      </c>
      <c r="P281" t="s">
        <v>257</v>
      </c>
      <c r="Q281" t="s">
        <v>257</v>
      </c>
      <c r="R281" t="s">
        <v>257</v>
      </c>
      <c r="S281" t="s">
        <v>257</v>
      </c>
      <c r="T281" t="s">
        <v>257</v>
      </c>
      <c r="U281" t="s">
        <v>257</v>
      </c>
    </row>
    <row r="282" spans="1:21" x14ac:dyDescent="0.25">
      <c r="A282" t="s">
        <v>257</v>
      </c>
      <c r="B282" t="s">
        <v>268</v>
      </c>
      <c r="C282" t="s">
        <v>177</v>
      </c>
      <c r="D282" t="s">
        <v>178</v>
      </c>
      <c r="E282" t="s">
        <v>107</v>
      </c>
      <c r="F282">
        <v>8361.51</v>
      </c>
      <c r="G282">
        <v>8295</v>
      </c>
      <c r="H282" t="s">
        <v>257</v>
      </c>
      <c r="I282" s="35" t="s">
        <v>257</v>
      </c>
      <c r="J282">
        <v>-66.51000000000022</v>
      </c>
      <c r="K282" t="s">
        <v>257</v>
      </c>
      <c r="L282" t="s">
        <v>257</v>
      </c>
      <c r="M282" t="s">
        <v>257</v>
      </c>
      <c r="N282" t="s">
        <v>266</v>
      </c>
      <c r="O282" t="s">
        <v>257</v>
      </c>
      <c r="P282" t="s">
        <v>257</v>
      </c>
      <c r="Q282" t="s">
        <v>257</v>
      </c>
      <c r="R282" t="s">
        <v>257</v>
      </c>
      <c r="S282" t="s">
        <v>257</v>
      </c>
      <c r="T282" t="s">
        <v>257</v>
      </c>
      <c r="U282" t="s">
        <v>257</v>
      </c>
    </row>
    <row r="283" spans="1:21" x14ac:dyDescent="0.25">
      <c r="A283" t="s">
        <v>257</v>
      </c>
      <c r="B283" t="s">
        <v>269</v>
      </c>
      <c r="C283" t="s">
        <v>176</v>
      </c>
      <c r="D283" t="s">
        <v>131</v>
      </c>
      <c r="E283" t="s">
        <v>129</v>
      </c>
      <c r="F283">
        <v>4390.79</v>
      </c>
      <c r="G283">
        <v>7250</v>
      </c>
      <c r="H283" t="s">
        <v>257</v>
      </c>
      <c r="I283" s="35" t="s">
        <v>257</v>
      </c>
      <c r="J283">
        <v>2859.21</v>
      </c>
      <c r="K283" t="s">
        <v>257</v>
      </c>
      <c r="L283" t="s">
        <v>257</v>
      </c>
      <c r="M283" t="s">
        <v>257</v>
      </c>
      <c r="N283" t="s">
        <v>270</v>
      </c>
      <c r="O283" t="s">
        <v>257</v>
      </c>
      <c r="P283" t="s">
        <v>257</v>
      </c>
      <c r="Q283" t="s">
        <v>257</v>
      </c>
      <c r="R283" t="s">
        <v>257</v>
      </c>
      <c r="S283" t="s">
        <v>257</v>
      </c>
      <c r="T283" t="s">
        <v>257</v>
      </c>
      <c r="U283" t="s">
        <v>257</v>
      </c>
    </row>
    <row r="284" spans="1:21" x14ac:dyDescent="0.25">
      <c r="A284" t="s">
        <v>257</v>
      </c>
      <c r="B284" t="s">
        <v>257</v>
      </c>
      <c r="C284" t="s">
        <v>174</v>
      </c>
      <c r="D284" t="s">
        <v>175</v>
      </c>
      <c r="E284" t="s">
        <v>107</v>
      </c>
      <c r="F284">
        <v>5253.02</v>
      </c>
      <c r="G284">
        <v>8995</v>
      </c>
      <c r="H284" t="s">
        <v>257</v>
      </c>
      <c r="I284" s="35" t="s">
        <v>257</v>
      </c>
      <c r="J284">
        <v>3741.9799999999996</v>
      </c>
      <c r="K284" t="s">
        <v>257</v>
      </c>
      <c r="L284" t="s">
        <v>257</v>
      </c>
      <c r="M284" t="s">
        <v>257</v>
      </c>
      <c r="N284" t="s">
        <v>271</v>
      </c>
      <c r="O284" t="s">
        <v>257</v>
      </c>
      <c r="P284" t="s">
        <v>257</v>
      </c>
      <c r="Q284" t="s">
        <v>257</v>
      </c>
      <c r="R284" t="s">
        <v>257</v>
      </c>
      <c r="S284" t="s">
        <v>257</v>
      </c>
      <c r="T284" t="s">
        <v>257</v>
      </c>
      <c r="U284" t="s">
        <v>257</v>
      </c>
    </row>
    <row r="285" spans="1:21" x14ac:dyDescent="0.25">
      <c r="A285" t="s">
        <v>257</v>
      </c>
      <c r="B285" t="s">
        <v>257</v>
      </c>
      <c r="C285" t="s">
        <v>172</v>
      </c>
      <c r="D285" t="s">
        <v>173</v>
      </c>
      <c r="E285" t="s">
        <v>107</v>
      </c>
      <c r="F285">
        <v>6541.12</v>
      </c>
      <c r="G285">
        <v>8495</v>
      </c>
      <c r="H285" t="s">
        <v>257</v>
      </c>
      <c r="I285" s="35" t="s">
        <v>257</v>
      </c>
      <c r="J285">
        <v>1953.88</v>
      </c>
      <c r="K285" t="s">
        <v>257</v>
      </c>
      <c r="L285" t="s">
        <v>257</v>
      </c>
      <c r="M285" t="s">
        <v>257</v>
      </c>
      <c r="N285" t="s">
        <v>272</v>
      </c>
      <c r="O285" t="s">
        <v>257</v>
      </c>
      <c r="P285" t="s">
        <v>257</v>
      </c>
      <c r="Q285" t="s">
        <v>257</v>
      </c>
      <c r="R285" t="s">
        <v>257</v>
      </c>
      <c r="S285" t="s">
        <v>257</v>
      </c>
      <c r="T285" t="s">
        <v>257</v>
      </c>
      <c r="U285" t="s">
        <v>257</v>
      </c>
    </row>
    <row r="286" spans="1:21" x14ac:dyDescent="0.25">
      <c r="A286" t="s">
        <v>257</v>
      </c>
      <c r="B286" t="s">
        <v>257</v>
      </c>
      <c r="C286" t="s">
        <v>169</v>
      </c>
      <c r="D286" t="s">
        <v>170</v>
      </c>
      <c r="E286" t="s">
        <v>113</v>
      </c>
      <c r="F286">
        <v>5494.46</v>
      </c>
      <c r="G286">
        <v>8995</v>
      </c>
      <c r="H286" t="s">
        <v>257</v>
      </c>
      <c r="I286" s="35" t="s">
        <v>257</v>
      </c>
      <c r="J286">
        <v>3500.54</v>
      </c>
      <c r="K286" t="s">
        <v>257</v>
      </c>
      <c r="L286" t="s">
        <v>257</v>
      </c>
      <c r="M286" t="s">
        <v>257</v>
      </c>
      <c r="N286" t="s">
        <v>273</v>
      </c>
      <c r="O286" t="s">
        <v>257</v>
      </c>
      <c r="P286" t="s">
        <v>257</v>
      </c>
      <c r="Q286" t="s">
        <v>257</v>
      </c>
      <c r="R286" t="s">
        <v>257</v>
      </c>
      <c r="S286" t="s">
        <v>257</v>
      </c>
      <c r="T286" t="s">
        <v>257</v>
      </c>
      <c r="U286" t="s">
        <v>257</v>
      </c>
    </row>
    <row r="287" spans="1:21" x14ac:dyDescent="0.25">
      <c r="A287" t="s">
        <v>257</v>
      </c>
      <c r="B287" t="s">
        <v>257</v>
      </c>
      <c r="C287" t="s">
        <v>171</v>
      </c>
      <c r="D287" t="s">
        <v>122</v>
      </c>
      <c r="E287" t="s">
        <v>107</v>
      </c>
      <c r="F287">
        <v>2639.28</v>
      </c>
      <c r="G287">
        <v>3595</v>
      </c>
      <c r="H287" t="s">
        <v>257</v>
      </c>
      <c r="I287" s="35" t="s">
        <v>257</v>
      </c>
      <c r="J287">
        <v>955.7199999999998</v>
      </c>
      <c r="K287" t="s">
        <v>257</v>
      </c>
      <c r="L287" t="s">
        <v>257</v>
      </c>
      <c r="M287" t="s">
        <v>257</v>
      </c>
      <c r="N287" t="s">
        <v>273</v>
      </c>
      <c r="O287" t="s">
        <v>257</v>
      </c>
      <c r="P287" t="s">
        <v>257</v>
      </c>
      <c r="Q287" t="s">
        <v>257</v>
      </c>
      <c r="R287" t="s">
        <v>257</v>
      </c>
      <c r="S287" t="s">
        <v>257</v>
      </c>
      <c r="T287" t="s">
        <v>257</v>
      </c>
      <c r="U287" t="s">
        <v>257</v>
      </c>
    </row>
    <row r="288" spans="1:21" x14ac:dyDescent="0.25">
      <c r="A288" t="s">
        <v>257</v>
      </c>
      <c r="B288" t="s">
        <v>257</v>
      </c>
      <c r="C288" t="s">
        <v>167</v>
      </c>
      <c r="D288" t="s">
        <v>168</v>
      </c>
      <c r="E288" t="s">
        <v>129</v>
      </c>
      <c r="F288">
        <v>6270.68</v>
      </c>
      <c r="G288">
        <v>8400</v>
      </c>
      <c r="H288" t="s">
        <v>257</v>
      </c>
      <c r="I288" s="35" t="s">
        <v>257</v>
      </c>
      <c r="J288">
        <v>2129.3199999999997</v>
      </c>
      <c r="K288" t="s">
        <v>257</v>
      </c>
      <c r="L288" t="s">
        <v>257</v>
      </c>
      <c r="M288" t="s">
        <v>257</v>
      </c>
      <c r="N288" t="s">
        <v>274</v>
      </c>
      <c r="O288" t="s">
        <v>257</v>
      </c>
      <c r="P288" t="s">
        <v>257</v>
      </c>
      <c r="Q288" t="s">
        <v>257</v>
      </c>
      <c r="R288" t="s">
        <v>257</v>
      </c>
      <c r="S288" t="s">
        <v>257</v>
      </c>
      <c r="T288" t="s">
        <v>257</v>
      </c>
      <c r="U288" t="s">
        <v>257</v>
      </c>
    </row>
    <row r="289" spans="1:21" x14ac:dyDescent="0.25">
      <c r="A289" t="s">
        <v>257</v>
      </c>
      <c r="B289" t="s">
        <v>257</v>
      </c>
      <c r="C289" t="s">
        <v>133</v>
      </c>
      <c r="D289" t="s">
        <v>134</v>
      </c>
      <c r="E289" t="s">
        <v>135</v>
      </c>
      <c r="F289">
        <v>5975.85</v>
      </c>
      <c r="G289">
        <v>7400</v>
      </c>
      <c r="H289" t="s">
        <v>257</v>
      </c>
      <c r="I289" s="35" t="s">
        <v>257</v>
      </c>
      <c r="J289">
        <v>1424.1499999999996</v>
      </c>
      <c r="K289" t="s">
        <v>257</v>
      </c>
      <c r="L289" t="s">
        <v>257</v>
      </c>
      <c r="M289" t="s">
        <v>257</v>
      </c>
      <c r="N289" t="s">
        <v>275</v>
      </c>
      <c r="O289" t="s">
        <v>257</v>
      </c>
      <c r="P289" t="s">
        <v>257</v>
      </c>
      <c r="Q289" t="s">
        <v>257</v>
      </c>
      <c r="R289" t="s">
        <v>257</v>
      </c>
      <c r="S289" t="s">
        <v>257</v>
      </c>
      <c r="T289" t="s">
        <v>257</v>
      </c>
      <c r="U289" t="s">
        <v>257</v>
      </c>
    </row>
    <row r="290" spans="1:21" x14ac:dyDescent="0.25">
      <c r="A290" t="s">
        <v>257</v>
      </c>
      <c r="B290" t="s">
        <v>257</v>
      </c>
      <c r="C290" t="s">
        <v>137</v>
      </c>
      <c r="D290" t="s">
        <v>138</v>
      </c>
      <c r="E290" t="s">
        <v>107</v>
      </c>
      <c r="F290">
        <v>0</v>
      </c>
      <c r="G290">
        <v>500</v>
      </c>
      <c r="H290" t="s">
        <v>257</v>
      </c>
      <c r="I290" s="35" t="s">
        <v>257</v>
      </c>
      <c r="J290">
        <v>500</v>
      </c>
      <c r="K290" t="s">
        <v>257</v>
      </c>
      <c r="L290" t="s">
        <v>257</v>
      </c>
      <c r="M290" t="s">
        <v>257</v>
      </c>
      <c r="N290" t="s">
        <v>275</v>
      </c>
      <c r="O290" t="s">
        <v>257</v>
      </c>
      <c r="P290" t="s">
        <v>257</v>
      </c>
      <c r="Q290" t="s">
        <v>257</v>
      </c>
      <c r="R290" t="s">
        <v>257</v>
      </c>
      <c r="S290" t="s">
        <v>257</v>
      </c>
      <c r="T290" t="s">
        <v>257</v>
      </c>
      <c r="U290" t="s">
        <v>257</v>
      </c>
    </row>
    <row r="291" spans="1:21" x14ac:dyDescent="0.25">
      <c r="A291" t="s">
        <v>257</v>
      </c>
      <c r="B291" t="s">
        <v>257</v>
      </c>
      <c r="C291" t="s">
        <v>132</v>
      </c>
      <c r="D291" t="s">
        <v>94</v>
      </c>
      <c r="E291" t="s">
        <v>113</v>
      </c>
      <c r="F291">
        <v>2576</v>
      </c>
      <c r="G291">
        <v>3900</v>
      </c>
      <c r="H291" t="s">
        <v>257</v>
      </c>
      <c r="I291" s="35" t="s">
        <v>257</v>
      </c>
      <c r="J291">
        <v>1324</v>
      </c>
      <c r="K291" t="s">
        <v>257</v>
      </c>
      <c r="L291" t="s">
        <v>257</v>
      </c>
      <c r="M291" t="s">
        <v>257</v>
      </c>
      <c r="N291" t="s">
        <v>276</v>
      </c>
      <c r="O291" t="s">
        <v>257</v>
      </c>
      <c r="P291" t="s">
        <v>257</v>
      </c>
      <c r="Q291" t="s">
        <v>257</v>
      </c>
      <c r="R291" t="s">
        <v>257</v>
      </c>
      <c r="S291" t="s">
        <v>257</v>
      </c>
      <c r="T291" t="s">
        <v>257</v>
      </c>
      <c r="U291" t="s">
        <v>257</v>
      </c>
    </row>
    <row r="292" spans="1:21" x14ac:dyDescent="0.25">
      <c r="A292" t="s">
        <v>257</v>
      </c>
      <c r="B292" t="s">
        <v>257</v>
      </c>
      <c r="C292" t="s">
        <v>130</v>
      </c>
      <c r="D292" t="s">
        <v>131</v>
      </c>
      <c r="E292" t="s">
        <v>113</v>
      </c>
      <c r="F292">
        <v>5477.23</v>
      </c>
      <c r="G292">
        <v>7250</v>
      </c>
      <c r="H292" t="s">
        <v>257</v>
      </c>
      <c r="I292" s="35" t="s">
        <v>257</v>
      </c>
      <c r="J292">
        <v>1772.7700000000004</v>
      </c>
      <c r="K292" t="s">
        <v>257</v>
      </c>
      <c r="L292" t="s">
        <v>257</v>
      </c>
      <c r="M292" t="s">
        <v>257</v>
      </c>
      <c r="N292" t="s">
        <v>262</v>
      </c>
      <c r="O292" t="s">
        <v>257</v>
      </c>
      <c r="P292" t="s">
        <v>257</v>
      </c>
      <c r="Q292" t="s">
        <v>257</v>
      </c>
      <c r="R292" t="s">
        <v>257</v>
      </c>
      <c r="S292" t="s">
        <v>257</v>
      </c>
      <c r="T292" t="s">
        <v>257</v>
      </c>
      <c r="U292" t="s">
        <v>257</v>
      </c>
    </row>
    <row r="293" spans="1:21" x14ac:dyDescent="0.25">
      <c r="A293" t="s">
        <v>257</v>
      </c>
      <c r="B293" t="s">
        <v>257</v>
      </c>
      <c r="C293" t="s">
        <v>127</v>
      </c>
      <c r="D293" t="s">
        <v>128</v>
      </c>
      <c r="E293" t="s">
        <v>129</v>
      </c>
      <c r="F293">
        <v>5437.63</v>
      </c>
      <c r="G293">
        <v>8602</v>
      </c>
      <c r="H293" t="s">
        <v>257</v>
      </c>
      <c r="I293" s="35" t="s">
        <v>257</v>
      </c>
      <c r="J293">
        <v>3164.37</v>
      </c>
      <c r="K293" t="s">
        <v>257</v>
      </c>
      <c r="L293" t="s">
        <v>257</v>
      </c>
      <c r="M293" t="s">
        <v>257</v>
      </c>
      <c r="N293" t="s">
        <v>277</v>
      </c>
      <c r="O293" t="s">
        <v>257</v>
      </c>
      <c r="P293" t="s">
        <v>257</v>
      </c>
      <c r="Q293" t="s">
        <v>257</v>
      </c>
      <c r="R293" t="s">
        <v>257</v>
      </c>
      <c r="S293" t="s">
        <v>257</v>
      </c>
      <c r="T293" t="s">
        <v>257</v>
      </c>
      <c r="U293" t="s">
        <v>257</v>
      </c>
    </row>
    <row r="294" spans="1:21" x14ac:dyDescent="0.25">
      <c r="A294" t="s">
        <v>257</v>
      </c>
      <c r="B294" t="s">
        <v>257</v>
      </c>
      <c r="C294" t="s">
        <v>126</v>
      </c>
      <c r="D294" t="s">
        <v>78</v>
      </c>
      <c r="E294" t="s">
        <v>125</v>
      </c>
      <c r="F294">
        <v>3949.3500000000004</v>
      </c>
      <c r="G294">
        <v>5795</v>
      </c>
      <c r="H294" t="s">
        <v>257</v>
      </c>
      <c r="I294" s="35" t="s">
        <v>257</v>
      </c>
      <c r="J294">
        <v>1845.6499999999996</v>
      </c>
      <c r="K294" t="s">
        <v>257</v>
      </c>
      <c r="L294" t="s">
        <v>257</v>
      </c>
      <c r="M294" t="s">
        <v>257</v>
      </c>
      <c r="N294" t="s">
        <v>278</v>
      </c>
      <c r="O294" t="s">
        <v>257</v>
      </c>
      <c r="P294" t="s">
        <v>257</v>
      </c>
      <c r="Q294" t="s">
        <v>257</v>
      </c>
      <c r="R294" t="s">
        <v>257</v>
      </c>
      <c r="S294" t="s">
        <v>257</v>
      </c>
      <c r="T294" t="s">
        <v>257</v>
      </c>
      <c r="U294" t="s">
        <v>257</v>
      </c>
    </row>
    <row r="295" spans="1:21" x14ac:dyDescent="0.25">
      <c r="A295" t="s">
        <v>257</v>
      </c>
      <c r="B295" t="s">
        <v>257</v>
      </c>
      <c r="C295" t="s">
        <v>118</v>
      </c>
      <c r="D295" t="s">
        <v>119</v>
      </c>
      <c r="E295" t="s">
        <v>107</v>
      </c>
      <c r="F295">
        <v>2421.85</v>
      </c>
      <c r="G295">
        <v>2989.66</v>
      </c>
      <c r="H295" t="s">
        <v>257</v>
      </c>
      <c r="I295" s="35" t="s">
        <v>257</v>
      </c>
      <c r="J295">
        <v>567.81</v>
      </c>
      <c r="K295" t="s">
        <v>257</v>
      </c>
      <c r="L295" t="s">
        <v>257</v>
      </c>
      <c r="M295" t="s">
        <v>257</v>
      </c>
      <c r="N295" t="s">
        <v>279</v>
      </c>
      <c r="O295" t="s">
        <v>257</v>
      </c>
      <c r="P295" t="s">
        <v>257</v>
      </c>
      <c r="Q295" t="s">
        <v>257</v>
      </c>
      <c r="R295" t="s">
        <v>257</v>
      </c>
      <c r="S295" t="s">
        <v>257</v>
      </c>
      <c r="T295" t="s">
        <v>257</v>
      </c>
      <c r="U295" t="s">
        <v>257</v>
      </c>
    </row>
    <row r="296" spans="1:21" x14ac:dyDescent="0.25">
      <c r="A296" t="s">
        <v>257</v>
      </c>
      <c r="B296" t="s">
        <v>257</v>
      </c>
      <c r="C296" t="s">
        <v>120</v>
      </c>
      <c r="D296" t="s">
        <v>65</v>
      </c>
      <c r="E296" t="s">
        <v>107</v>
      </c>
      <c r="F296">
        <v>3651.52</v>
      </c>
      <c r="G296">
        <v>3550</v>
      </c>
      <c r="H296" t="s">
        <v>257</v>
      </c>
      <c r="I296" s="35" t="s">
        <v>257</v>
      </c>
      <c r="J296">
        <v>-101.51999999999998</v>
      </c>
      <c r="K296" t="s">
        <v>257</v>
      </c>
      <c r="L296" t="s">
        <v>257</v>
      </c>
      <c r="M296" t="s">
        <v>257</v>
      </c>
      <c r="N296" t="s">
        <v>279</v>
      </c>
      <c r="O296" t="s">
        <v>257</v>
      </c>
      <c r="P296" t="s">
        <v>257</v>
      </c>
      <c r="Q296" t="s">
        <v>257</v>
      </c>
      <c r="R296" t="s">
        <v>257</v>
      </c>
      <c r="S296" t="s">
        <v>257</v>
      </c>
      <c r="T296" t="s">
        <v>257</v>
      </c>
      <c r="U296" t="s">
        <v>257</v>
      </c>
    </row>
    <row r="297" spans="1:21" x14ac:dyDescent="0.25">
      <c r="A297" t="s">
        <v>257</v>
      </c>
      <c r="B297" t="s">
        <v>257</v>
      </c>
      <c r="C297" t="s">
        <v>116</v>
      </c>
      <c r="D297" t="s">
        <v>81</v>
      </c>
      <c r="E297" t="s">
        <v>107</v>
      </c>
      <c r="F297">
        <v>3149.04</v>
      </c>
      <c r="G297">
        <v>3795</v>
      </c>
      <c r="H297" t="s">
        <v>257</v>
      </c>
      <c r="I297" s="35" t="s">
        <v>257</v>
      </c>
      <c r="J297">
        <v>645.96</v>
      </c>
      <c r="K297" t="s">
        <v>257</v>
      </c>
      <c r="L297" t="s">
        <v>257</v>
      </c>
      <c r="M297" t="s">
        <v>257</v>
      </c>
      <c r="N297" t="s">
        <v>280</v>
      </c>
      <c r="O297" t="s">
        <v>257</v>
      </c>
      <c r="P297" t="s">
        <v>257</v>
      </c>
      <c r="Q297" t="s">
        <v>257</v>
      </c>
      <c r="R297" t="s">
        <v>257</v>
      </c>
      <c r="S297" t="s">
        <v>257</v>
      </c>
      <c r="T297" t="s">
        <v>257</v>
      </c>
      <c r="U297" t="s">
        <v>257</v>
      </c>
    </row>
    <row r="298" spans="1:21" x14ac:dyDescent="0.25">
      <c r="A298" t="s">
        <v>257</v>
      </c>
      <c r="B298" t="s">
        <v>257</v>
      </c>
      <c r="C298" t="s">
        <v>121</v>
      </c>
      <c r="D298" t="s">
        <v>122</v>
      </c>
      <c r="E298" t="s">
        <v>110</v>
      </c>
      <c r="F298">
        <v>2386.87</v>
      </c>
      <c r="G298">
        <v>4695</v>
      </c>
      <c r="H298" t="s">
        <v>257</v>
      </c>
      <c r="I298" s="35" t="s">
        <v>257</v>
      </c>
      <c r="J298">
        <v>2308.13</v>
      </c>
      <c r="K298" t="s">
        <v>257</v>
      </c>
      <c r="L298" t="s">
        <v>257</v>
      </c>
      <c r="M298" t="s">
        <v>257</v>
      </c>
      <c r="N298" t="s">
        <v>280</v>
      </c>
      <c r="O298" t="s">
        <v>257</v>
      </c>
      <c r="P298" t="s">
        <v>257</v>
      </c>
      <c r="Q298" t="s">
        <v>257</v>
      </c>
      <c r="R298" t="s">
        <v>257</v>
      </c>
      <c r="S298" t="s">
        <v>257</v>
      </c>
      <c r="T298" t="s">
        <v>257</v>
      </c>
      <c r="U298" t="s">
        <v>257</v>
      </c>
    </row>
    <row r="299" spans="1:21" x14ac:dyDescent="0.25">
      <c r="A299" t="s">
        <v>257</v>
      </c>
      <c r="B299" t="s">
        <v>257</v>
      </c>
      <c r="C299" t="s">
        <v>123</v>
      </c>
      <c r="D299" t="s">
        <v>124</v>
      </c>
      <c r="E299" t="s">
        <v>125</v>
      </c>
      <c r="F299">
        <v>3516.24</v>
      </c>
      <c r="G299">
        <v>5591.61</v>
      </c>
      <c r="H299" t="s">
        <v>257</v>
      </c>
      <c r="I299" s="35" t="s">
        <v>257</v>
      </c>
      <c r="J299">
        <v>2075.37</v>
      </c>
      <c r="K299" t="s">
        <v>257</v>
      </c>
      <c r="L299" t="s">
        <v>257</v>
      </c>
      <c r="M299" t="s">
        <v>257</v>
      </c>
      <c r="N299" t="s">
        <v>280</v>
      </c>
      <c r="O299" t="s">
        <v>257</v>
      </c>
      <c r="P299" t="s">
        <v>257</v>
      </c>
      <c r="Q299" t="s">
        <v>257</v>
      </c>
      <c r="R299" t="s">
        <v>257</v>
      </c>
      <c r="S299" t="s">
        <v>257</v>
      </c>
      <c r="T299" t="s">
        <v>257</v>
      </c>
      <c r="U299" t="s">
        <v>257</v>
      </c>
    </row>
    <row r="300" spans="1:21" x14ac:dyDescent="0.25">
      <c r="A300" t="s">
        <v>257</v>
      </c>
      <c r="B300" t="s">
        <v>257</v>
      </c>
      <c r="C300" t="s">
        <v>115</v>
      </c>
      <c r="D300" t="s">
        <v>86</v>
      </c>
      <c r="E300" t="s">
        <v>113</v>
      </c>
      <c r="F300">
        <v>5243.21</v>
      </c>
      <c r="G300">
        <v>6795</v>
      </c>
      <c r="H300" t="s">
        <v>257</v>
      </c>
      <c r="I300" s="35" t="s">
        <v>257</v>
      </c>
      <c r="J300">
        <v>1551.79</v>
      </c>
      <c r="K300" t="s">
        <v>257</v>
      </c>
      <c r="L300" t="s">
        <v>257</v>
      </c>
      <c r="M300" t="s">
        <v>257</v>
      </c>
      <c r="N300" t="s">
        <v>281</v>
      </c>
      <c r="O300" t="s">
        <v>257</v>
      </c>
      <c r="P300" t="s">
        <v>257</v>
      </c>
      <c r="Q300" t="s">
        <v>257</v>
      </c>
      <c r="R300" t="s">
        <v>257</v>
      </c>
      <c r="S300" t="s">
        <v>257</v>
      </c>
      <c r="T300" t="s">
        <v>257</v>
      </c>
      <c r="U300" t="s">
        <v>257</v>
      </c>
    </row>
    <row r="301" spans="1:21" x14ac:dyDescent="0.25">
      <c r="A301" t="s">
        <v>257</v>
      </c>
      <c r="B301" t="s">
        <v>282</v>
      </c>
      <c r="C301" t="s">
        <v>104</v>
      </c>
      <c r="D301" t="s">
        <v>105</v>
      </c>
      <c r="E301" t="s">
        <v>106</v>
      </c>
      <c r="F301">
        <v>6035.869999999998</v>
      </c>
      <c r="G301">
        <v>6300</v>
      </c>
      <c r="H301" t="s">
        <v>257</v>
      </c>
      <c r="I301" s="35" t="s">
        <v>257</v>
      </c>
      <c r="J301">
        <v>264.1300000000019</v>
      </c>
      <c r="K301" t="s">
        <v>257</v>
      </c>
      <c r="L301" t="s">
        <v>257</v>
      </c>
      <c r="M301" t="s">
        <v>257</v>
      </c>
      <c r="N301" t="s">
        <v>283</v>
      </c>
      <c r="O301" t="s">
        <v>257</v>
      </c>
      <c r="P301" t="s">
        <v>257</v>
      </c>
      <c r="Q301" t="s">
        <v>257</v>
      </c>
      <c r="R301" t="s">
        <v>257</v>
      </c>
      <c r="S301" t="s">
        <v>257</v>
      </c>
      <c r="T301" t="s">
        <v>257</v>
      </c>
      <c r="U301" t="s">
        <v>257</v>
      </c>
    </row>
    <row r="302" spans="1:21" x14ac:dyDescent="0.25">
      <c r="A302" t="s">
        <v>257</v>
      </c>
      <c r="B302" t="s">
        <v>257</v>
      </c>
      <c r="C302" t="s">
        <v>112</v>
      </c>
      <c r="D302" t="s">
        <v>86</v>
      </c>
      <c r="E302" t="s">
        <v>113</v>
      </c>
      <c r="F302">
        <v>4542.54</v>
      </c>
      <c r="G302">
        <v>5795</v>
      </c>
      <c r="H302" t="s">
        <v>257</v>
      </c>
      <c r="I302" s="35" t="s">
        <v>257</v>
      </c>
      <c r="J302">
        <v>1252.46</v>
      </c>
      <c r="K302" t="s">
        <v>257</v>
      </c>
      <c r="L302" t="s">
        <v>257</v>
      </c>
      <c r="M302" t="s">
        <v>257</v>
      </c>
      <c r="N302" t="s">
        <v>284</v>
      </c>
      <c r="O302" t="s">
        <v>257</v>
      </c>
      <c r="P302" t="s">
        <v>257</v>
      </c>
      <c r="Q302" t="s">
        <v>257</v>
      </c>
      <c r="R302" t="s">
        <v>257</v>
      </c>
      <c r="S302" t="s">
        <v>257</v>
      </c>
      <c r="T302" t="s">
        <v>257</v>
      </c>
      <c r="U302" t="s">
        <v>257</v>
      </c>
    </row>
    <row r="303" spans="1:21" x14ac:dyDescent="0.25">
      <c r="A303" t="s">
        <v>257</v>
      </c>
      <c r="B303" t="s">
        <v>285</v>
      </c>
      <c r="C303" t="s">
        <v>71</v>
      </c>
      <c r="D303" t="s">
        <v>72</v>
      </c>
      <c r="E303" t="s">
        <v>257</v>
      </c>
      <c r="F303">
        <v>3090.369999999999</v>
      </c>
      <c r="G303">
        <v>3350</v>
      </c>
      <c r="H303" t="s">
        <v>257</v>
      </c>
      <c r="I303" s="35" t="s">
        <v>257</v>
      </c>
      <c r="J303">
        <v>259.630000000001</v>
      </c>
      <c r="K303" t="s">
        <v>257</v>
      </c>
      <c r="L303" t="s">
        <v>257</v>
      </c>
      <c r="M303" t="s">
        <v>257</v>
      </c>
      <c r="N303" t="s">
        <v>286</v>
      </c>
      <c r="O303" t="s">
        <v>257</v>
      </c>
      <c r="P303" t="s">
        <v>257</v>
      </c>
      <c r="Q303" t="s">
        <v>257</v>
      </c>
      <c r="R303" t="s">
        <v>257</v>
      </c>
      <c r="S303" t="s">
        <v>257</v>
      </c>
      <c r="T303" t="s">
        <v>257</v>
      </c>
      <c r="U303" t="s">
        <v>257</v>
      </c>
    </row>
    <row r="304" spans="1:21" x14ac:dyDescent="0.25">
      <c r="A304" t="s">
        <v>257</v>
      </c>
      <c r="B304" t="s">
        <v>287</v>
      </c>
      <c r="C304" t="s">
        <v>69</v>
      </c>
      <c r="D304" t="s">
        <v>70</v>
      </c>
      <c r="E304" t="s">
        <v>257</v>
      </c>
      <c r="F304">
        <v>1359.7</v>
      </c>
      <c r="G304">
        <v>2200</v>
      </c>
      <c r="H304" t="s">
        <v>257</v>
      </c>
      <c r="I304" s="35" t="s">
        <v>257</v>
      </c>
      <c r="J304">
        <v>840.3</v>
      </c>
      <c r="K304" t="s">
        <v>257</v>
      </c>
      <c r="L304" t="s">
        <v>257</v>
      </c>
      <c r="M304" t="s">
        <v>257</v>
      </c>
      <c r="N304" t="s">
        <v>288</v>
      </c>
      <c r="O304" t="s">
        <v>257</v>
      </c>
      <c r="P304" t="s">
        <v>257</v>
      </c>
      <c r="Q304" t="s">
        <v>257</v>
      </c>
      <c r="R304" t="s">
        <v>257</v>
      </c>
      <c r="S304" t="s">
        <v>257</v>
      </c>
      <c r="T304" t="s">
        <v>257</v>
      </c>
      <c r="U304" t="s">
        <v>257</v>
      </c>
    </row>
    <row r="305" spans="1:21" x14ac:dyDescent="0.25">
      <c r="A305" t="s">
        <v>257</v>
      </c>
      <c r="B305" t="s">
        <v>289</v>
      </c>
      <c r="C305" t="s">
        <v>62</v>
      </c>
      <c r="D305" t="s">
        <v>63</v>
      </c>
      <c r="E305" t="s">
        <v>257</v>
      </c>
      <c r="F305">
        <v>5151.84</v>
      </c>
      <c r="G305">
        <v>5400</v>
      </c>
      <c r="H305" t="s">
        <v>257</v>
      </c>
      <c r="I305" s="35" t="s">
        <v>257</v>
      </c>
      <c r="J305">
        <v>248.15999999999985</v>
      </c>
      <c r="K305" t="s">
        <v>257</v>
      </c>
      <c r="L305" t="s">
        <v>257</v>
      </c>
      <c r="M305" t="s">
        <v>257</v>
      </c>
      <c r="N305" t="s">
        <v>290</v>
      </c>
      <c r="O305" t="s">
        <v>257</v>
      </c>
      <c r="P305" t="s">
        <v>257</v>
      </c>
      <c r="Q305" t="s">
        <v>257</v>
      </c>
      <c r="R305" t="s">
        <v>257</v>
      </c>
      <c r="S305" t="s">
        <v>257</v>
      </c>
      <c r="T305" t="s">
        <v>257</v>
      </c>
      <c r="U305" t="s">
        <v>257</v>
      </c>
    </row>
    <row r="306" spans="1:21" x14ac:dyDescent="0.25">
      <c r="A306" t="s">
        <v>257</v>
      </c>
      <c r="B306" t="s">
        <v>291</v>
      </c>
      <c r="C306" t="s">
        <v>64</v>
      </c>
      <c r="D306" t="s">
        <v>65</v>
      </c>
      <c r="E306" t="s">
        <v>257</v>
      </c>
      <c r="F306">
        <v>998.1500000000001</v>
      </c>
      <c r="G306">
        <v>1295</v>
      </c>
      <c r="H306" t="s">
        <v>257</v>
      </c>
      <c r="I306" s="35" t="s">
        <v>257</v>
      </c>
      <c r="J306">
        <v>296.8499999999999</v>
      </c>
      <c r="K306" t="s">
        <v>257</v>
      </c>
      <c r="L306" t="s">
        <v>257</v>
      </c>
      <c r="M306" t="s">
        <v>257</v>
      </c>
      <c r="N306" t="s">
        <v>292</v>
      </c>
      <c r="O306" t="s">
        <v>257</v>
      </c>
      <c r="P306" t="s">
        <v>257</v>
      </c>
      <c r="Q306" t="s">
        <v>257</v>
      </c>
      <c r="R306" t="s">
        <v>257</v>
      </c>
      <c r="S306" t="s">
        <v>257</v>
      </c>
      <c r="T306" t="s">
        <v>257</v>
      </c>
      <c r="U306" t="s">
        <v>257</v>
      </c>
    </row>
    <row r="307" spans="1:21" x14ac:dyDescent="0.25">
      <c r="A307" t="s">
        <v>257</v>
      </c>
      <c r="B307" t="s">
        <v>293</v>
      </c>
      <c r="C307" t="s">
        <v>60</v>
      </c>
      <c r="D307" t="s">
        <v>61</v>
      </c>
      <c r="E307" t="s">
        <v>257</v>
      </c>
      <c r="F307">
        <v>3108.7</v>
      </c>
      <c r="G307">
        <v>1450</v>
      </c>
      <c r="H307" t="s">
        <v>257</v>
      </c>
      <c r="I307" s="35" t="s">
        <v>257</v>
      </c>
      <c r="J307">
        <v>-1658.6999999999998</v>
      </c>
      <c r="K307" t="s">
        <v>257</v>
      </c>
      <c r="L307" t="s">
        <v>257</v>
      </c>
      <c r="M307" t="s">
        <v>257</v>
      </c>
      <c r="N307" t="s">
        <v>294</v>
      </c>
      <c r="O307" t="s">
        <v>257</v>
      </c>
      <c r="P307" t="s">
        <v>257</v>
      </c>
      <c r="Q307" t="s">
        <v>257</v>
      </c>
      <c r="R307" t="s">
        <v>257</v>
      </c>
      <c r="S307" t="s">
        <v>257</v>
      </c>
      <c r="T307" t="s">
        <v>257</v>
      </c>
      <c r="U307" t="s">
        <v>257</v>
      </c>
    </row>
    <row r="308" spans="1:21" x14ac:dyDescent="0.25">
      <c r="A308" t="s">
        <v>257</v>
      </c>
      <c r="B308" t="s">
        <v>295</v>
      </c>
      <c r="C308" t="s">
        <v>46</v>
      </c>
      <c r="D308" t="s">
        <v>47</v>
      </c>
      <c r="E308" t="s">
        <v>257</v>
      </c>
      <c r="F308">
        <v>2165.42</v>
      </c>
      <c r="G308">
        <v>2995</v>
      </c>
      <c r="H308" t="s">
        <v>257</v>
      </c>
      <c r="I308" s="35" t="s">
        <v>257</v>
      </c>
      <c r="J308">
        <v>829.5799999999999</v>
      </c>
      <c r="K308" t="s">
        <v>257</v>
      </c>
      <c r="L308" t="s">
        <v>257</v>
      </c>
      <c r="M308" t="s">
        <v>257</v>
      </c>
      <c r="N308" t="s">
        <v>296</v>
      </c>
      <c r="O308" t="s">
        <v>257</v>
      </c>
      <c r="P308" t="s">
        <v>257</v>
      </c>
      <c r="Q308" t="s">
        <v>257</v>
      </c>
      <c r="R308" t="s">
        <v>257</v>
      </c>
      <c r="S308" t="s">
        <v>257</v>
      </c>
      <c r="T308" t="s">
        <v>257</v>
      </c>
      <c r="U308" t="s">
        <v>257</v>
      </c>
    </row>
    <row r="309" spans="1:21" x14ac:dyDescent="0.25">
      <c r="A309" t="s">
        <v>257</v>
      </c>
      <c r="B309" t="s">
        <v>297</v>
      </c>
      <c r="C309" t="s">
        <v>48</v>
      </c>
      <c r="D309" t="s">
        <v>49</v>
      </c>
      <c r="E309" t="s">
        <v>257</v>
      </c>
      <c r="F309">
        <v>2160.74</v>
      </c>
      <c r="G309">
        <v>3376</v>
      </c>
      <c r="H309" t="s">
        <v>257</v>
      </c>
      <c r="I309" s="35" t="s">
        <v>257</v>
      </c>
      <c r="J309">
        <v>1215.2600000000002</v>
      </c>
      <c r="K309" t="s">
        <v>257</v>
      </c>
      <c r="L309" t="s">
        <v>257</v>
      </c>
      <c r="M309" t="s">
        <v>257</v>
      </c>
      <c r="N309" t="s">
        <v>298</v>
      </c>
      <c r="O309" t="s">
        <v>257</v>
      </c>
      <c r="P309" t="s">
        <v>257</v>
      </c>
      <c r="Q309" t="s">
        <v>257</v>
      </c>
      <c r="R309" t="s">
        <v>257</v>
      </c>
      <c r="S309" t="s">
        <v>257</v>
      </c>
      <c r="T309" t="s">
        <v>257</v>
      </c>
      <c r="U309" t="s">
        <v>257</v>
      </c>
    </row>
    <row r="310" spans="1:21" x14ac:dyDescent="0.25">
      <c r="A310" t="s">
        <v>257</v>
      </c>
      <c r="B310" t="s">
        <v>299</v>
      </c>
      <c r="C310" t="s">
        <v>54</v>
      </c>
      <c r="D310" t="s">
        <v>55</v>
      </c>
      <c r="E310" t="s">
        <v>257</v>
      </c>
      <c r="F310">
        <v>634.46</v>
      </c>
      <c r="G310">
        <v>1775</v>
      </c>
      <c r="H310" t="s">
        <v>257</v>
      </c>
      <c r="I310" s="35" t="s">
        <v>257</v>
      </c>
      <c r="J310">
        <v>1140.54</v>
      </c>
      <c r="K310" t="s">
        <v>257</v>
      </c>
      <c r="L310" t="s">
        <v>257</v>
      </c>
      <c r="M310" t="s">
        <v>257</v>
      </c>
      <c r="N310" t="s">
        <v>298</v>
      </c>
      <c r="O310" t="s">
        <v>257</v>
      </c>
      <c r="P310" t="s">
        <v>257</v>
      </c>
      <c r="Q310" t="s">
        <v>257</v>
      </c>
      <c r="R310" t="s">
        <v>257</v>
      </c>
      <c r="S310" t="s">
        <v>257</v>
      </c>
      <c r="T310" t="s">
        <v>257</v>
      </c>
      <c r="U310" t="s">
        <v>257</v>
      </c>
    </row>
    <row r="311" spans="1:21" x14ac:dyDescent="0.25">
      <c r="A311" t="s">
        <v>257</v>
      </c>
      <c r="B311" t="s">
        <v>300</v>
      </c>
      <c r="C311" t="s">
        <v>58</v>
      </c>
      <c r="D311" t="s">
        <v>59</v>
      </c>
      <c r="E311" t="s">
        <v>257</v>
      </c>
      <c r="F311">
        <v>2214.2</v>
      </c>
      <c r="G311">
        <v>2900</v>
      </c>
      <c r="H311" t="s">
        <v>257</v>
      </c>
      <c r="I311" s="35" t="s">
        <v>257</v>
      </c>
      <c r="J311">
        <v>685.8000000000002</v>
      </c>
      <c r="K311" t="s">
        <v>257</v>
      </c>
      <c r="L311" t="s">
        <v>257</v>
      </c>
      <c r="M311" t="s">
        <v>257</v>
      </c>
      <c r="N311" t="s">
        <v>300</v>
      </c>
      <c r="O311" t="s">
        <v>257</v>
      </c>
      <c r="P311" t="s">
        <v>257</v>
      </c>
      <c r="Q311" t="s">
        <v>257</v>
      </c>
      <c r="R311" t="s">
        <v>257</v>
      </c>
      <c r="S311" t="s">
        <v>257</v>
      </c>
      <c r="T311" t="s">
        <v>257</v>
      </c>
      <c r="U311" t="s">
        <v>257</v>
      </c>
    </row>
    <row r="312" spans="1:21" x14ac:dyDescent="0.25">
      <c r="A312" t="s">
        <v>257</v>
      </c>
      <c r="B312" t="s">
        <v>301</v>
      </c>
      <c r="C312" t="s">
        <v>50</v>
      </c>
      <c r="D312" t="s">
        <v>51</v>
      </c>
      <c r="E312" t="s">
        <v>257</v>
      </c>
      <c r="F312">
        <v>1992.81</v>
      </c>
      <c r="G312">
        <v>2300</v>
      </c>
      <c r="H312" t="s">
        <v>257</v>
      </c>
      <c r="I312" s="35" t="s">
        <v>257</v>
      </c>
      <c r="J312">
        <v>307.19000000000005</v>
      </c>
      <c r="K312" t="s">
        <v>257</v>
      </c>
      <c r="L312" t="s">
        <v>257</v>
      </c>
      <c r="M312" t="s">
        <v>257</v>
      </c>
      <c r="N312" t="s">
        <v>302</v>
      </c>
      <c r="O312" t="s">
        <v>257</v>
      </c>
      <c r="P312" t="s">
        <v>257</v>
      </c>
      <c r="Q312" t="s">
        <v>257</v>
      </c>
      <c r="R312" t="s">
        <v>257</v>
      </c>
      <c r="S312" t="s">
        <v>257</v>
      </c>
      <c r="T312" t="s">
        <v>257</v>
      </c>
      <c r="U312" t="s">
        <v>257</v>
      </c>
    </row>
    <row r="313" spans="1:21" x14ac:dyDescent="0.25">
      <c r="A313" t="s">
        <v>257</v>
      </c>
      <c r="B313" t="s">
        <v>303</v>
      </c>
      <c r="C313" t="s">
        <v>56</v>
      </c>
      <c r="D313" t="s">
        <v>57</v>
      </c>
      <c r="E313" t="s">
        <v>257</v>
      </c>
      <c r="F313">
        <v>6105.41</v>
      </c>
      <c r="G313">
        <v>6400</v>
      </c>
      <c r="H313" t="s">
        <v>257</v>
      </c>
      <c r="I313" s="35" t="s">
        <v>257</v>
      </c>
      <c r="J313">
        <v>294.59000000000015</v>
      </c>
      <c r="K313" t="s">
        <v>257</v>
      </c>
      <c r="L313" t="s">
        <v>257</v>
      </c>
      <c r="M313" t="s">
        <v>257</v>
      </c>
      <c r="N313" t="s">
        <v>302</v>
      </c>
      <c r="O313" t="s">
        <v>257</v>
      </c>
      <c r="P313" t="s">
        <v>257</v>
      </c>
      <c r="Q313" t="s">
        <v>257</v>
      </c>
      <c r="R313" t="s">
        <v>257</v>
      </c>
      <c r="S313" t="s">
        <v>257</v>
      </c>
      <c r="T313" t="s">
        <v>257</v>
      </c>
      <c r="U313" t="s">
        <v>257</v>
      </c>
    </row>
    <row r="314" spans="1:21" x14ac:dyDescent="0.25">
      <c r="A314" t="s">
        <v>257</v>
      </c>
      <c r="B314" t="s">
        <v>304</v>
      </c>
      <c r="C314" t="s">
        <v>44</v>
      </c>
      <c r="D314" t="s">
        <v>45</v>
      </c>
      <c r="E314" t="s">
        <v>257</v>
      </c>
      <c r="F314">
        <v>1684.85</v>
      </c>
      <c r="G314">
        <v>2900</v>
      </c>
      <c r="H314" t="s">
        <v>257</v>
      </c>
      <c r="I314" s="35" t="s">
        <v>257</v>
      </c>
      <c r="J314">
        <v>1215.15</v>
      </c>
      <c r="K314" t="s">
        <v>257</v>
      </c>
      <c r="L314" t="s">
        <v>257</v>
      </c>
      <c r="M314" t="s">
        <v>257</v>
      </c>
      <c r="N314" t="s">
        <v>291</v>
      </c>
      <c r="O314" t="s">
        <v>257</v>
      </c>
      <c r="P314" t="s">
        <v>257</v>
      </c>
      <c r="Q314" t="s">
        <v>257</v>
      </c>
      <c r="R314" t="s">
        <v>257</v>
      </c>
      <c r="S314" t="s">
        <v>257</v>
      </c>
      <c r="T314" t="s">
        <v>257</v>
      </c>
      <c r="U314" t="s">
        <v>257</v>
      </c>
    </row>
    <row r="315" spans="1:21" x14ac:dyDescent="0.25">
      <c r="A315" t="s">
        <v>257</v>
      </c>
      <c r="B315" t="s">
        <v>291</v>
      </c>
      <c r="C315" t="s">
        <v>52</v>
      </c>
      <c r="D315" t="s">
        <v>53</v>
      </c>
      <c r="E315" t="s">
        <v>257</v>
      </c>
      <c r="F315">
        <v>2736.32</v>
      </c>
      <c r="G315">
        <v>2900</v>
      </c>
      <c r="H315" t="s">
        <v>257</v>
      </c>
      <c r="I315" s="35" t="s">
        <v>257</v>
      </c>
      <c r="J315">
        <v>163.67999999999984</v>
      </c>
      <c r="K315" t="s">
        <v>257</v>
      </c>
      <c r="L315" t="s">
        <v>257</v>
      </c>
      <c r="M315" t="s">
        <v>257</v>
      </c>
      <c r="N315" t="s">
        <v>291</v>
      </c>
      <c r="O315" t="s">
        <v>257</v>
      </c>
      <c r="P315" t="s">
        <v>257</v>
      </c>
      <c r="Q315" t="s">
        <v>257</v>
      </c>
      <c r="R315" t="s">
        <v>257</v>
      </c>
      <c r="S315" t="s">
        <v>257</v>
      </c>
      <c r="T315" t="s">
        <v>257</v>
      </c>
      <c r="U315" t="s">
        <v>257</v>
      </c>
    </row>
    <row r="316" spans="1:21" x14ac:dyDescent="0.25">
      <c r="A316" t="s">
        <v>257</v>
      </c>
      <c r="B316" t="s">
        <v>257</v>
      </c>
      <c r="C316" t="s">
        <v>161</v>
      </c>
      <c r="D316" t="s">
        <v>162</v>
      </c>
      <c r="E316" t="s">
        <v>107</v>
      </c>
      <c r="F316">
        <v>6737.99</v>
      </c>
      <c r="G316">
        <v>9994</v>
      </c>
      <c r="H316" t="s">
        <v>257</v>
      </c>
      <c r="I316" s="35" t="s">
        <v>257</v>
      </c>
      <c r="J316">
        <v>3256.01</v>
      </c>
      <c r="K316" t="s">
        <v>257</v>
      </c>
      <c r="L316" t="s">
        <v>257</v>
      </c>
      <c r="M316" t="s">
        <v>257</v>
      </c>
      <c r="N316" t="s">
        <v>163</v>
      </c>
      <c r="O316" t="s">
        <v>257</v>
      </c>
      <c r="P316" t="s">
        <v>257</v>
      </c>
      <c r="Q316" t="s">
        <v>257</v>
      </c>
      <c r="R316" t="s">
        <v>257</v>
      </c>
      <c r="S316" t="s">
        <v>257</v>
      </c>
      <c r="T316" t="s">
        <v>257</v>
      </c>
      <c r="U316" t="s">
        <v>257</v>
      </c>
    </row>
    <row r="317" spans="1:21" x14ac:dyDescent="0.25">
      <c r="A317" t="s">
        <v>257</v>
      </c>
      <c r="B317" t="s">
        <v>265</v>
      </c>
      <c r="C317" t="s">
        <v>200</v>
      </c>
      <c r="D317" t="s">
        <v>201</v>
      </c>
      <c r="E317" t="s">
        <v>107</v>
      </c>
      <c r="F317">
        <v>781.27</v>
      </c>
      <c r="G317">
        <v>3000</v>
      </c>
      <c r="H317" t="s">
        <v>257</v>
      </c>
      <c r="I317" s="35" t="s">
        <v>257</v>
      </c>
      <c r="J317">
        <v>2218.73</v>
      </c>
      <c r="K317" t="s">
        <v>257</v>
      </c>
      <c r="L317" t="s">
        <v>257</v>
      </c>
      <c r="M317" t="s">
        <v>257</v>
      </c>
      <c r="N317" t="s">
        <v>202</v>
      </c>
      <c r="O317" t="s">
        <v>257</v>
      </c>
      <c r="P317" t="s">
        <v>257</v>
      </c>
      <c r="Q317" t="s">
        <v>257</v>
      </c>
      <c r="R317" t="s">
        <v>257</v>
      </c>
      <c r="S317" t="s">
        <v>257</v>
      </c>
      <c r="T317" t="s">
        <v>257</v>
      </c>
      <c r="U317" t="s">
        <v>257</v>
      </c>
    </row>
    <row r="318" spans="1:21" x14ac:dyDescent="0.25">
      <c r="A318" t="s">
        <v>257</v>
      </c>
      <c r="B318" t="s">
        <v>257</v>
      </c>
      <c r="C318" t="s">
        <v>159</v>
      </c>
      <c r="D318" t="s">
        <v>49</v>
      </c>
      <c r="E318" t="s">
        <v>125</v>
      </c>
      <c r="F318">
        <v>6647.9</v>
      </c>
      <c r="G318">
        <v>9050</v>
      </c>
      <c r="H318" t="s">
        <v>257</v>
      </c>
      <c r="I318" s="35" t="s">
        <v>257</v>
      </c>
      <c r="J318">
        <v>2402.1000000000004</v>
      </c>
      <c r="K318" t="s">
        <v>257</v>
      </c>
      <c r="L318" t="s">
        <v>257</v>
      </c>
      <c r="M318" t="s">
        <v>257</v>
      </c>
      <c r="N318" t="s">
        <v>160</v>
      </c>
      <c r="O318" t="s">
        <v>257</v>
      </c>
      <c r="P318" t="s">
        <v>257</v>
      </c>
      <c r="Q318" t="s">
        <v>257</v>
      </c>
      <c r="R318" t="s">
        <v>257</v>
      </c>
      <c r="S318" t="s">
        <v>257</v>
      </c>
      <c r="T318" t="s">
        <v>257</v>
      </c>
      <c r="U318" t="s">
        <v>257</v>
      </c>
    </row>
    <row r="319" spans="1:21" x14ac:dyDescent="0.25">
      <c r="A319" t="s">
        <v>257</v>
      </c>
      <c r="B319" t="s">
        <v>305</v>
      </c>
      <c r="C319" t="s">
        <v>232</v>
      </c>
      <c r="D319" t="s">
        <v>233</v>
      </c>
      <c r="E319" t="s">
        <v>107</v>
      </c>
      <c r="F319">
        <v>3385.5299999999997</v>
      </c>
      <c r="G319">
        <v>7989.29</v>
      </c>
      <c r="H319" t="s">
        <v>257</v>
      </c>
      <c r="I319" s="35" t="s">
        <v>257</v>
      </c>
      <c r="J319">
        <v>4603.76</v>
      </c>
      <c r="K319" t="s">
        <v>257</v>
      </c>
      <c r="L319" t="s">
        <v>257</v>
      </c>
      <c r="M319" t="s">
        <v>257</v>
      </c>
      <c r="N319" t="s">
        <v>234</v>
      </c>
      <c r="O319" t="s">
        <v>257</v>
      </c>
      <c r="P319" t="s">
        <v>257</v>
      </c>
      <c r="Q319" t="s">
        <v>257</v>
      </c>
      <c r="R319" t="s">
        <v>257</v>
      </c>
      <c r="S319" t="s">
        <v>257</v>
      </c>
      <c r="T319" t="s">
        <v>257</v>
      </c>
      <c r="U319" t="s">
        <v>257</v>
      </c>
    </row>
    <row r="320" spans="1:21" x14ac:dyDescent="0.25">
      <c r="A320" t="s">
        <v>257</v>
      </c>
      <c r="B320" t="s">
        <v>306</v>
      </c>
      <c r="C320" t="s">
        <v>235</v>
      </c>
      <c r="D320" t="s">
        <v>122</v>
      </c>
      <c r="E320" t="s">
        <v>107</v>
      </c>
      <c r="F320">
        <v>4014.6099999999997</v>
      </c>
      <c r="G320">
        <v>6800</v>
      </c>
      <c r="H320" t="s">
        <v>257</v>
      </c>
      <c r="I320" s="35" t="s">
        <v>257</v>
      </c>
      <c r="J320">
        <v>2785.3900000000003</v>
      </c>
      <c r="K320" t="s">
        <v>257</v>
      </c>
      <c r="L320" t="s">
        <v>257</v>
      </c>
      <c r="M320" t="s">
        <v>257</v>
      </c>
      <c r="N320" t="s">
        <v>234</v>
      </c>
      <c r="O320" t="s">
        <v>257</v>
      </c>
      <c r="P320" t="s">
        <v>257</v>
      </c>
      <c r="Q320" t="s">
        <v>257</v>
      </c>
      <c r="R320" t="s">
        <v>257</v>
      </c>
      <c r="S320" t="s">
        <v>257</v>
      </c>
      <c r="T320" t="s">
        <v>257</v>
      </c>
      <c r="U320" t="s">
        <v>257</v>
      </c>
    </row>
    <row r="321" spans="1:21" x14ac:dyDescent="0.25">
      <c r="A321" t="s">
        <v>257</v>
      </c>
      <c r="B321" t="s">
        <v>307</v>
      </c>
      <c r="C321" t="s">
        <v>225</v>
      </c>
      <c r="D321" t="s">
        <v>226</v>
      </c>
      <c r="E321" t="s">
        <v>129</v>
      </c>
      <c r="F321">
        <v>6497.88</v>
      </c>
      <c r="G321">
        <v>8650</v>
      </c>
      <c r="H321" t="s">
        <v>257</v>
      </c>
      <c r="I321" s="35" t="s">
        <v>257</v>
      </c>
      <c r="J321">
        <v>2152.12</v>
      </c>
      <c r="K321" t="s">
        <v>257</v>
      </c>
      <c r="L321" t="s">
        <v>257</v>
      </c>
      <c r="M321" t="s">
        <v>257</v>
      </c>
      <c r="N321" t="s">
        <v>227</v>
      </c>
      <c r="O321" t="s">
        <v>257</v>
      </c>
      <c r="P321" t="s">
        <v>257</v>
      </c>
      <c r="Q321" t="s">
        <v>257</v>
      </c>
      <c r="R321" t="s">
        <v>257</v>
      </c>
      <c r="S321" t="s">
        <v>257</v>
      </c>
      <c r="T321" t="s">
        <v>257</v>
      </c>
      <c r="U321" t="s">
        <v>257</v>
      </c>
    </row>
    <row r="322" spans="1:21" x14ac:dyDescent="0.25">
      <c r="A322" t="s">
        <v>257</v>
      </c>
      <c r="B322" t="s">
        <v>308</v>
      </c>
      <c r="C322" t="s">
        <v>223</v>
      </c>
      <c r="D322" t="s">
        <v>128</v>
      </c>
      <c r="E322" t="s">
        <v>125</v>
      </c>
      <c r="F322">
        <v>4625.13</v>
      </c>
      <c r="G322">
        <v>7250</v>
      </c>
      <c r="H322" t="s">
        <v>257</v>
      </c>
      <c r="I322" s="35" t="s">
        <v>257</v>
      </c>
      <c r="J322">
        <v>2624.87</v>
      </c>
      <c r="K322" t="s">
        <v>257</v>
      </c>
      <c r="L322" t="s">
        <v>257</v>
      </c>
      <c r="M322" t="s">
        <v>257</v>
      </c>
      <c r="N322" t="s">
        <v>224</v>
      </c>
      <c r="O322" t="s">
        <v>257</v>
      </c>
      <c r="P322" t="s">
        <v>257</v>
      </c>
      <c r="Q322" t="s">
        <v>257</v>
      </c>
      <c r="R322" t="s">
        <v>257</v>
      </c>
      <c r="S322" t="s">
        <v>257</v>
      </c>
      <c r="T322" t="s">
        <v>257</v>
      </c>
      <c r="U322" t="s">
        <v>257</v>
      </c>
    </row>
    <row r="323" spans="1:21" x14ac:dyDescent="0.25">
      <c r="A323" t="s">
        <v>257</v>
      </c>
      <c r="B323" t="s">
        <v>334</v>
      </c>
      <c r="C323" t="s">
        <v>335</v>
      </c>
      <c r="D323" t="s">
        <v>336</v>
      </c>
      <c r="E323" t="s">
        <v>129</v>
      </c>
      <c r="F323">
        <v>7648.77</v>
      </c>
      <c r="G323">
        <v>100000</v>
      </c>
      <c r="H323" t="s">
        <v>257</v>
      </c>
      <c r="I323" s="35" t="s">
        <v>257</v>
      </c>
      <c r="J323">
        <v>92351.23</v>
      </c>
      <c r="K323" t="s">
        <v>257</v>
      </c>
      <c r="L323" t="s">
        <v>257</v>
      </c>
      <c r="M323" t="s">
        <v>257</v>
      </c>
      <c r="N323" t="s">
        <v>312</v>
      </c>
      <c r="O323" t="s">
        <v>257</v>
      </c>
      <c r="P323" t="s">
        <v>257</v>
      </c>
      <c r="Q323" t="s">
        <v>257</v>
      </c>
      <c r="R323" t="s">
        <v>257</v>
      </c>
      <c r="S323" t="s">
        <v>257</v>
      </c>
      <c r="T323" t="s">
        <v>257</v>
      </c>
      <c r="U323" t="s">
        <v>257</v>
      </c>
    </row>
    <row r="324" spans="1:21" x14ac:dyDescent="0.25">
      <c r="A324" t="s">
        <v>257</v>
      </c>
      <c r="B324" t="s">
        <v>309</v>
      </c>
      <c r="C324" t="s">
        <v>310</v>
      </c>
      <c r="D324" t="s">
        <v>311</v>
      </c>
      <c r="E324" t="s">
        <v>129</v>
      </c>
      <c r="F324">
        <v>6530.8</v>
      </c>
      <c r="G324">
        <v>50000</v>
      </c>
      <c r="H324" t="s">
        <v>257</v>
      </c>
      <c r="I324" s="35" t="s">
        <v>257</v>
      </c>
      <c r="J324">
        <v>43469.2</v>
      </c>
      <c r="K324" t="s">
        <v>257</v>
      </c>
      <c r="L324" t="s">
        <v>257</v>
      </c>
      <c r="M324" t="s">
        <v>257</v>
      </c>
      <c r="N324" t="s">
        <v>312</v>
      </c>
      <c r="O324" t="s">
        <v>257</v>
      </c>
      <c r="P324" t="s">
        <v>257</v>
      </c>
      <c r="Q324" t="s">
        <v>257</v>
      </c>
      <c r="R324" t="s">
        <v>257</v>
      </c>
      <c r="S324" t="s">
        <v>257</v>
      </c>
      <c r="T324" t="s">
        <v>257</v>
      </c>
      <c r="U324" t="s">
        <v>257</v>
      </c>
    </row>
    <row r="325" spans="1:21" x14ac:dyDescent="0.25">
      <c r="A325" t="s">
        <v>257</v>
      </c>
      <c r="B325" t="s">
        <v>257</v>
      </c>
      <c r="C325" t="s">
        <v>152</v>
      </c>
      <c r="D325" t="s">
        <v>153</v>
      </c>
      <c r="E325" t="s">
        <v>107</v>
      </c>
      <c r="F325">
        <v>2571.2166666666667</v>
      </c>
      <c r="G325">
        <v>3500</v>
      </c>
      <c r="H325" t="s">
        <v>257</v>
      </c>
      <c r="I325" s="35" t="s">
        <v>257</v>
      </c>
      <c r="J325">
        <v>928.7833333333333</v>
      </c>
      <c r="K325" t="s">
        <v>257</v>
      </c>
      <c r="L325" t="s">
        <v>257</v>
      </c>
      <c r="M325" t="s">
        <v>257</v>
      </c>
      <c r="N325" t="s">
        <v>154</v>
      </c>
      <c r="O325" t="s">
        <v>257</v>
      </c>
      <c r="P325" t="s">
        <v>257</v>
      </c>
      <c r="Q325" t="s">
        <v>257</v>
      </c>
      <c r="R325" t="s">
        <v>257</v>
      </c>
      <c r="S325" t="s">
        <v>257</v>
      </c>
      <c r="T325" t="s">
        <v>257</v>
      </c>
      <c r="U325" t="s">
        <v>257</v>
      </c>
    </row>
    <row r="326" spans="1:21" x14ac:dyDescent="0.25">
      <c r="A326" t="s">
        <v>257</v>
      </c>
      <c r="B326" t="s">
        <v>263</v>
      </c>
      <c r="C326" t="s">
        <v>221</v>
      </c>
      <c r="D326" t="s">
        <v>128</v>
      </c>
      <c r="E326" t="s">
        <v>110</v>
      </c>
      <c r="F326">
        <v>5947.61</v>
      </c>
      <c r="G326">
        <v>7995</v>
      </c>
      <c r="H326" t="s">
        <v>257</v>
      </c>
      <c r="I326" s="35" t="s">
        <v>257</v>
      </c>
      <c r="J326">
        <v>2047.3900000000003</v>
      </c>
      <c r="K326" t="s">
        <v>257</v>
      </c>
      <c r="L326" t="s">
        <v>257</v>
      </c>
      <c r="M326" t="s">
        <v>257</v>
      </c>
      <c r="N326" t="s">
        <v>222</v>
      </c>
      <c r="O326" t="s">
        <v>257</v>
      </c>
      <c r="P326" t="s">
        <v>257</v>
      </c>
      <c r="Q326" t="s">
        <v>257</v>
      </c>
      <c r="R326" t="s">
        <v>257</v>
      </c>
      <c r="S326" t="s">
        <v>257</v>
      </c>
      <c r="T326" t="s">
        <v>257</v>
      </c>
      <c r="U326" t="s">
        <v>257</v>
      </c>
    </row>
    <row r="327" spans="1:21" x14ac:dyDescent="0.25">
      <c r="A327" t="s">
        <v>257</v>
      </c>
      <c r="B327" t="s">
        <v>313</v>
      </c>
      <c r="C327" t="s">
        <v>218</v>
      </c>
      <c r="D327" t="s">
        <v>219</v>
      </c>
      <c r="E327" t="s">
        <v>113</v>
      </c>
      <c r="F327">
        <v>7508.91</v>
      </c>
      <c r="G327">
        <v>10800</v>
      </c>
      <c r="H327" t="s">
        <v>257</v>
      </c>
      <c r="I327" s="35" t="s">
        <v>257</v>
      </c>
      <c r="J327">
        <v>3291.09</v>
      </c>
      <c r="K327" t="s">
        <v>257</v>
      </c>
      <c r="L327" t="s">
        <v>257</v>
      </c>
      <c r="M327" t="s">
        <v>257</v>
      </c>
      <c r="N327" t="s">
        <v>220</v>
      </c>
      <c r="O327" t="s">
        <v>257</v>
      </c>
      <c r="P327" t="s">
        <v>257</v>
      </c>
      <c r="Q327" t="s">
        <v>257</v>
      </c>
      <c r="R327" t="s">
        <v>257</v>
      </c>
      <c r="S327" t="s">
        <v>257</v>
      </c>
      <c r="T327" t="s">
        <v>257</v>
      </c>
      <c r="U327" t="s">
        <v>257</v>
      </c>
    </row>
    <row r="328" spans="1:21" x14ac:dyDescent="0.25">
      <c r="A328" t="s">
        <v>257</v>
      </c>
      <c r="B328" t="s">
        <v>214</v>
      </c>
      <c r="C328" t="s">
        <v>215</v>
      </c>
      <c r="D328" t="s">
        <v>216</v>
      </c>
      <c r="E328" t="s">
        <v>110</v>
      </c>
      <c r="F328">
        <v>4606.41</v>
      </c>
      <c r="G328">
        <v>7495</v>
      </c>
      <c r="H328" t="s">
        <v>257</v>
      </c>
      <c r="I328" s="35" t="s">
        <v>257</v>
      </c>
      <c r="J328">
        <v>2888.59</v>
      </c>
      <c r="K328" t="s">
        <v>257</v>
      </c>
      <c r="L328" t="s">
        <v>257</v>
      </c>
      <c r="M328" t="s">
        <v>257</v>
      </c>
      <c r="N328" t="s">
        <v>217</v>
      </c>
      <c r="O328" t="s">
        <v>257</v>
      </c>
      <c r="P328" t="s">
        <v>257</v>
      </c>
      <c r="Q328" t="s">
        <v>257</v>
      </c>
      <c r="R328" t="s">
        <v>257</v>
      </c>
      <c r="S328" t="s">
        <v>257</v>
      </c>
      <c r="T328" t="s">
        <v>257</v>
      </c>
      <c r="U328" t="s">
        <v>257</v>
      </c>
    </row>
    <row r="329" spans="1:21" x14ac:dyDescent="0.25">
      <c r="A329" t="s">
        <v>257</v>
      </c>
      <c r="B329" t="s">
        <v>314</v>
      </c>
      <c r="C329" t="s">
        <v>211</v>
      </c>
      <c r="D329" t="s">
        <v>212</v>
      </c>
      <c r="E329" t="s">
        <v>129</v>
      </c>
      <c r="F329">
        <v>8231.48</v>
      </c>
      <c r="G329">
        <v>10995</v>
      </c>
      <c r="H329" t="s">
        <v>257</v>
      </c>
      <c r="I329" s="35" t="s">
        <v>257</v>
      </c>
      <c r="J329">
        <v>2763.5200000000004</v>
      </c>
      <c r="K329" t="s">
        <v>257</v>
      </c>
      <c r="L329" t="s">
        <v>257</v>
      </c>
      <c r="M329" t="s">
        <v>257</v>
      </c>
      <c r="N329" t="s">
        <v>213</v>
      </c>
      <c r="O329" t="s">
        <v>257</v>
      </c>
      <c r="P329" t="s">
        <v>257</v>
      </c>
      <c r="Q329" t="s">
        <v>257</v>
      </c>
      <c r="R329" t="s">
        <v>257</v>
      </c>
      <c r="S329" t="s">
        <v>257</v>
      </c>
      <c r="T329" t="s">
        <v>257</v>
      </c>
      <c r="U329" t="s">
        <v>257</v>
      </c>
    </row>
    <row r="330" spans="1:21" x14ac:dyDescent="0.25">
      <c r="A330" t="s">
        <v>257</v>
      </c>
      <c r="B330" t="s">
        <v>265</v>
      </c>
      <c r="C330" t="s">
        <v>254</v>
      </c>
      <c r="D330" t="s">
        <v>255</v>
      </c>
      <c r="E330" t="s">
        <v>107</v>
      </c>
      <c r="F330">
        <v>122.46000000000001</v>
      </c>
      <c r="G330">
        <v>6650</v>
      </c>
      <c r="H330" t="s">
        <v>257</v>
      </c>
      <c r="I330" s="35" t="s">
        <v>257</v>
      </c>
      <c r="J330">
        <v>6527.54</v>
      </c>
      <c r="K330" t="s">
        <v>257</v>
      </c>
      <c r="L330" t="s">
        <v>257</v>
      </c>
      <c r="M330" t="s">
        <v>257</v>
      </c>
      <c r="N330" t="s">
        <v>256</v>
      </c>
      <c r="O330" t="s">
        <v>257</v>
      </c>
      <c r="P330" t="s">
        <v>257</v>
      </c>
      <c r="Q330" t="s">
        <v>257</v>
      </c>
      <c r="R330" t="s">
        <v>257</v>
      </c>
      <c r="S330" t="s">
        <v>257</v>
      </c>
      <c r="T330" t="s">
        <v>257</v>
      </c>
      <c r="U330" t="s">
        <v>257</v>
      </c>
    </row>
    <row r="331" spans="1:21" x14ac:dyDescent="0.25">
      <c r="A331" t="s">
        <v>257</v>
      </c>
      <c r="B331" t="s">
        <v>315</v>
      </c>
      <c r="C331" t="s">
        <v>208</v>
      </c>
      <c r="D331" t="s">
        <v>209</v>
      </c>
      <c r="E331" t="s">
        <v>125</v>
      </c>
      <c r="F331">
        <v>5336.28</v>
      </c>
      <c r="G331">
        <v>7200</v>
      </c>
      <c r="H331" t="s">
        <v>257</v>
      </c>
      <c r="I331" s="35" t="s">
        <v>257</v>
      </c>
      <c r="J331">
        <v>1863.7200000000003</v>
      </c>
      <c r="K331" t="s">
        <v>257</v>
      </c>
      <c r="L331" t="s">
        <v>257</v>
      </c>
      <c r="M331" t="s">
        <v>257</v>
      </c>
      <c r="N331" t="s">
        <v>210</v>
      </c>
      <c r="O331" t="s">
        <v>257</v>
      </c>
      <c r="P331" t="s">
        <v>257</v>
      </c>
      <c r="Q331" t="s">
        <v>257</v>
      </c>
      <c r="R331" t="s">
        <v>257</v>
      </c>
      <c r="S331" t="s">
        <v>257</v>
      </c>
      <c r="T331" t="s">
        <v>257</v>
      </c>
      <c r="U331" t="s">
        <v>257</v>
      </c>
    </row>
    <row r="332" spans="1:21" x14ac:dyDescent="0.25">
      <c r="A332" t="s">
        <v>257</v>
      </c>
      <c r="B332" t="s">
        <v>316</v>
      </c>
      <c r="C332" t="s">
        <v>251</v>
      </c>
      <c r="D332" t="s">
        <v>252</v>
      </c>
      <c r="E332" t="s">
        <v>113</v>
      </c>
      <c r="F332">
        <v>7944.275</v>
      </c>
      <c r="G332">
        <v>10250</v>
      </c>
      <c r="H332" t="s">
        <v>257</v>
      </c>
      <c r="I332" s="35" t="s">
        <v>257</v>
      </c>
      <c r="J332">
        <v>2305.7250000000004</v>
      </c>
      <c r="K332" t="s">
        <v>257</v>
      </c>
      <c r="L332" t="s">
        <v>257</v>
      </c>
      <c r="M332" t="s">
        <v>257</v>
      </c>
      <c r="N332" t="s">
        <v>253</v>
      </c>
      <c r="O332" t="s">
        <v>257</v>
      </c>
      <c r="P332" t="s">
        <v>257</v>
      </c>
      <c r="Q332" t="s">
        <v>257</v>
      </c>
      <c r="R332" t="s">
        <v>257</v>
      </c>
      <c r="S332" t="s">
        <v>257</v>
      </c>
      <c r="T332" t="s">
        <v>257</v>
      </c>
      <c r="U332" t="s">
        <v>257</v>
      </c>
    </row>
    <row r="333" spans="1:21" x14ac:dyDescent="0.25">
      <c r="A333" t="s">
        <v>257</v>
      </c>
      <c r="B333" t="s">
        <v>317</v>
      </c>
      <c r="C333" t="s">
        <v>249</v>
      </c>
      <c r="D333" t="s">
        <v>70</v>
      </c>
      <c r="E333" t="s">
        <v>107</v>
      </c>
      <c r="F333">
        <v>0</v>
      </c>
      <c r="G333">
        <v>5295</v>
      </c>
      <c r="H333" t="s">
        <v>257</v>
      </c>
      <c r="I333" s="35" t="s">
        <v>257</v>
      </c>
      <c r="J333">
        <v>5295</v>
      </c>
      <c r="K333" t="s">
        <v>257</v>
      </c>
      <c r="L333" t="s">
        <v>257</v>
      </c>
      <c r="M333" t="s">
        <v>257</v>
      </c>
      <c r="N333" t="s">
        <v>250</v>
      </c>
      <c r="O333" t="s">
        <v>257</v>
      </c>
      <c r="P333" t="s">
        <v>257</v>
      </c>
      <c r="Q333" t="s">
        <v>257</v>
      </c>
      <c r="R333" t="s">
        <v>257</v>
      </c>
      <c r="S333" t="s">
        <v>257</v>
      </c>
      <c r="T333" t="s">
        <v>257</v>
      </c>
      <c r="U333" t="s">
        <v>257</v>
      </c>
    </row>
    <row r="334" spans="1:21" x14ac:dyDescent="0.25">
      <c r="A334" t="s">
        <v>257</v>
      </c>
      <c r="B334" t="s">
        <v>266</v>
      </c>
      <c r="C334" t="s">
        <v>205</v>
      </c>
      <c r="D334" t="s">
        <v>206</v>
      </c>
      <c r="E334" t="s">
        <v>107</v>
      </c>
      <c r="F334">
        <v>6388.24</v>
      </c>
      <c r="G334">
        <v>3295</v>
      </c>
      <c r="H334" t="s">
        <v>257</v>
      </c>
      <c r="I334" s="35" t="s">
        <v>257</v>
      </c>
      <c r="J334">
        <v>-3093.24</v>
      </c>
      <c r="K334" t="s">
        <v>257</v>
      </c>
      <c r="L334" t="s">
        <v>257</v>
      </c>
      <c r="M334" t="s">
        <v>257</v>
      </c>
      <c r="N334" t="s">
        <v>207</v>
      </c>
      <c r="O334" t="s">
        <v>257</v>
      </c>
      <c r="P334" t="s">
        <v>257</v>
      </c>
      <c r="Q334" t="s">
        <v>257</v>
      </c>
      <c r="R334" t="s">
        <v>257</v>
      </c>
      <c r="S334" t="s">
        <v>257</v>
      </c>
      <c r="T334" t="s">
        <v>257</v>
      </c>
      <c r="U334" t="s">
        <v>257</v>
      </c>
    </row>
    <row r="335" spans="1:21" x14ac:dyDescent="0.25">
      <c r="A335" t="s">
        <v>257</v>
      </c>
      <c r="B335" t="s">
        <v>318</v>
      </c>
      <c r="C335" t="s">
        <v>244</v>
      </c>
      <c r="D335" t="s">
        <v>245</v>
      </c>
      <c r="E335" t="s">
        <v>107</v>
      </c>
      <c r="F335">
        <v>6993.22</v>
      </c>
      <c r="G335">
        <v>8400</v>
      </c>
      <c r="H335" t="s">
        <v>257</v>
      </c>
      <c r="I335" s="35" t="s">
        <v>257</v>
      </c>
      <c r="J335">
        <v>1406.7799999999997</v>
      </c>
      <c r="K335" t="s">
        <v>257</v>
      </c>
      <c r="L335" t="s">
        <v>257</v>
      </c>
      <c r="M335" t="s">
        <v>257</v>
      </c>
      <c r="N335" t="s">
        <v>246</v>
      </c>
      <c r="O335" t="s">
        <v>257</v>
      </c>
      <c r="P335" t="s">
        <v>257</v>
      </c>
      <c r="Q335" t="s">
        <v>257</v>
      </c>
      <c r="R335" t="s">
        <v>257</v>
      </c>
      <c r="S335" t="s">
        <v>257</v>
      </c>
      <c r="T335" t="s">
        <v>257</v>
      </c>
      <c r="U335" t="s">
        <v>257</v>
      </c>
    </row>
    <row r="336" spans="1:21" x14ac:dyDescent="0.25">
      <c r="A336" t="s">
        <v>257</v>
      </c>
      <c r="B336" t="s">
        <v>319</v>
      </c>
      <c r="C336" t="s">
        <v>247</v>
      </c>
      <c r="D336" t="s">
        <v>248</v>
      </c>
      <c r="E336" t="s">
        <v>110</v>
      </c>
      <c r="F336">
        <v>8558.78</v>
      </c>
      <c r="G336">
        <v>12050</v>
      </c>
      <c r="H336" t="s">
        <v>257</v>
      </c>
      <c r="I336" s="35" t="s">
        <v>257</v>
      </c>
      <c r="J336">
        <v>3491.2199999999993</v>
      </c>
      <c r="K336" t="s">
        <v>257</v>
      </c>
      <c r="L336" t="s">
        <v>257</v>
      </c>
      <c r="M336" t="s">
        <v>257</v>
      </c>
      <c r="N336" t="s">
        <v>246</v>
      </c>
      <c r="O336" t="s">
        <v>257</v>
      </c>
      <c r="P336" t="s">
        <v>257</v>
      </c>
      <c r="Q336" t="s">
        <v>257</v>
      </c>
      <c r="R336" t="s">
        <v>257</v>
      </c>
      <c r="S336" t="s">
        <v>257</v>
      </c>
      <c r="T336" t="s">
        <v>257</v>
      </c>
      <c r="U336" t="s">
        <v>257</v>
      </c>
    </row>
    <row r="337" spans="1:21" x14ac:dyDescent="0.25">
      <c r="A337" t="s">
        <v>257</v>
      </c>
      <c r="B337" t="s">
        <v>320</v>
      </c>
      <c r="C337" t="s">
        <v>203</v>
      </c>
      <c r="D337" t="s">
        <v>148</v>
      </c>
      <c r="E337" t="s">
        <v>129</v>
      </c>
      <c r="F337">
        <v>6493.7</v>
      </c>
      <c r="G337">
        <v>8465</v>
      </c>
      <c r="H337" t="s">
        <v>257</v>
      </c>
      <c r="I337" s="35" t="s">
        <v>257</v>
      </c>
      <c r="J337">
        <v>1971.3000000000002</v>
      </c>
      <c r="K337" t="s">
        <v>257</v>
      </c>
      <c r="L337" t="s">
        <v>257</v>
      </c>
      <c r="M337" t="s">
        <v>257</v>
      </c>
      <c r="N337" t="s">
        <v>204</v>
      </c>
      <c r="O337" t="s">
        <v>257</v>
      </c>
      <c r="P337" t="s">
        <v>257</v>
      </c>
      <c r="Q337" t="s">
        <v>257</v>
      </c>
      <c r="R337" t="s">
        <v>257</v>
      </c>
      <c r="S337" t="s">
        <v>257</v>
      </c>
      <c r="T337" t="s">
        <v>257</v>
      </c>
      <c r="U337" t="s">
        <v>257</v>
      </c>
    </row>
    <row r="338" spans="1:21" x14ac:dyDescent="0.25">
      <c r="A338" t="s">
        <v>257</v>
      </c>
      <c r="B338" t="s">
        <v>308</v>
      </c>
      <c r="C338" t="s">
        <v>241</v>
      </c>
      <c r="D338" t="s">
        <v>242</v>
      </c>
      <c r="E338" t="s">
        <v>110</v>
      </c>
      <c r="F338">
        <v>7491.5</v>
      </c>
      <c r="G338">
        <v>9971</v>
      </c>
      <c r="H338" t="s">
        <v>257</v>
      </c>
      <c r="I338" s="35" t="s">
        <v>257</v>
      </c>
      <c r="J338">
        <v>2479.5</v>
      </c>
      <c r="K338" t="s">
        <v>257</v>
      </c>
      <c r="L338" t="s">
        <v>257</v>
      </c>
      <c r="M338" t="s">
        <v>257</v>
      </c>
      <c r="N338" t="s">
        <v>243</v>
      </c>
      <c r="O338" t="s">
        <v>257</v>
      </c>
      <c r="P338" t="s">
        <v>257</v>
      </c>
      <c r="Q338" t="s">
        <v>257</v>
      </c>
      <c r="R338" t="s">
        <v>257</v>
      </c>
      <c r="S338" t="s">
        <v>257</v>
      </c>
      <c r="T338" t="s">
        <v>257</v>
      </c>
      <c r="U338" t="s">
        <v>257</v>
      </c>
    </row>
    <row r="339" spans="1:21" x14ac:dyDescent="0.25">
      <c r="A339" t="s">
        <v>257</v>
      </c>
      <c r="B339" t="s">
        <v>262</v>
      </c>
      <c r="C339" t="s">
        <v>238</v>
      </c>
      <c r="D339" t="s">
        <v>239</v>
      </c>
      <c r="E339" t="s">
        <v>107</v>
      </c>
      <c r="F339">
        <v>4901.89</v>
      </c>
      <c r="G339">
        <v>5695</v>
      </c>
      <c r="H339" t="s">
        <v>257</v>
      </c>
      <c r="I339" s="35" t="s">
        <v>257</v>
      </c>
      <c r="J339">
        <v>793.1099999999997</v>
      </c>
      <c r="K339" t="s">
        <v>257</v>
      </c>
      <c r="L339" t="s">
        <v>257</v>
      </c>
      <c r="M339" t="s">
        <v>257</v>
      </c>
      <c r="N339" t="s">
        <v>240</v>
      </c>
      <c r="O339" t="s">
        <v>257</v>
      </c>
      <c r="P339" t="s">
        <v>257</v>
      </c>
      <c r="Q339" t="s">
        <v>257</v>
      </c>
      <c r="R339" t="s">
        <v>257</v>
      </c>
      <c r="S339" t="s">
        <v>257</v>
      </c>
      <c r="T339" t="s">
        <v>257</v>
      </c>
      <c r="U339" t="s">
        <v>257</v>
      </c>
    </row>
    <row r="340" spans="1:21" x14ac:dyDescent="0.25">
      <c r="A340" t="s">
        <v>257</v>
      </c>
      <c r="B340" t="s">
        <v>303</v>
      </c>
      <c r="C340" t="s">
        <v>66</v>
      </c>
      <c r="D340" t="s">
        <v>67</v>
      </c>
      <c r="E340" t="s">
        <v>257</v>
      </c>
      <c r="F340">
        <v>1422.04</v>
      </c>
      <c r="G340">
        <v>1900</v>
      </c>
      <c r="H340" t="s">
        <v>257</v>
      </c>
      <c r="I340" s="35" t="s">
        <v>257</v>
      </c>
      <c r="J340">
        <v>477.96000000000004</v>
      </c>
      <c r="K340" t="s">
        <v>257</v>
      </c>
      <c r="L340" t="s">
        <v>257</v>
      </c>
      <c r="M340" t="s">
        <v>257</v>
      </c>
      <c r="N340" t="s">
        <v>68</v>
      </c>
      <c r="O340" t="s">
        <v>257</v>
      </c>
      <c r="P340" t="s">
        <v>257</v>
      </c>
      <c r="Q340" t="s">
        <v>257</v>
      </c>
      <c r="R340" t="s">
        <v>257</v>
      </c>
      <c r="S340" t="s">
        <v>257</v>
      </c>
      <c r="T340" t="s">
        <v>257</v>
      </c>
      <c r="U340" t="s">
        <v>257</v>
      </c>
    </row>
    <row r="341" spans="1:21" x14ac:dyDescent="0.25">
      <c r="A341" t="s">
        <v>257</v>
      </c>
      <c r="B341" t="s">
        <v>303</v>
      </c>
      <c r="C341" t="s">
        <v>66</v>
      </c>
      <c r="D341" t="s">
        <v>67</v>
      </c>
      <c r="E341" t="s">
        <v>257</v>
      </c>
      <c r="F341">
        <v>1445.22</v>
      </c>
      <c r="G341">
        <v>1900</v>
      </c>
      <c r="H341" t="s">
        <v>257</v>
      </c>
      <c r="I341" s="35" t="s">
        <v>257</v>
      </c>
      <c r="J341">
        <v>454.78</v>
      </c>
      <c r="K341" t="s">
        <v>257</v>
      </c>
      <c r="L341" t="s">
        <v>257</v>
      </c>
      <c r="M341" t="s">
        <v>257</v>
      </c>
      <c r="N341" t="s">
        <v>257</v>
      </c>
      <c r="O341" t="s">
        <v>257</v>
      </c>
      <c r="P341" t="s">
        <v>257</v>
      </c>
      <c r="Q341" t="s">
        <v>257</v>
      </c>
      <c r="R341" t="s">
        <v>257</v>
      </c>
      <c r="S341" t="s">
        <v>257</v>
      </c>
      <c r="T341" t="s">
        <v>257</v>
      </c>
      <c r="U341" t="s">
        <v>257</v>
      </c>
    </row>
    <row r="342" spans="1:21" x14ac:dyDescent="0.25">
      <c r="A342" t="s">
        <v>257</v>
      </c>
      <c r="B342" t="s">
        <v>321</v>
      </c>
      <c r="C342" t="s">
        <v>73</v>
      </c>
      <c r="D342" t="s">
        <v>74</v>
      </c>
      <c r="E342" t="s">
        <v>257</v>
      </c>
      <c r="F342">
        <v>1981.44</v>
      </c>
      <c r="G342">
        <v>2195</v>
      </c>
      <c r="H342" t="s">
        <v>257</v>
      </c>
      <c r="I342" s="35" t="s">
        <v>257</v>
      </c>
      <c r="J342">
        <v>213.55999999999995</v>
      </c>
      <c r="K342" t="s">
        <v>257</v>
      </c>
      <c r="L342" t="s">
        <v>257</v>
      </c>
      <c r="M342" t="s">
        <v>257</v>
      </c>
      <c r="N342" t="s">
        <v>257</v>
      </c>
      <c r="O342" t="s">
        <v>257</v>
      </c>
      <c r="P342" t="s">
        <v>257</v>
      </c>
      <c r="Q342" t="s">
        <v>257</v>
      </c>
      <c r="R342" t="s">
        <v>257</v>
      </c>
      <c r="S342" t="s">
        <v>257</v>
      </c>
      <c r="T342" t="s">
        <v>257</v>
      </c>
      <c r="U342" t="s">
        <v>257</v>
      </c>
    </row>
    <row r="343" spans="1:21" x14ac:dyDescent="0.25">
      <c r="A343" t="s">
        <v>257</v>
      </c>
      <c r="B343" t="s">
        <v>285</v>
      </c>
      <c r="C343" t="s">
        <v>71</v>
      </c>
      <c r="D343" t="s">
        <v>72</v>
      </c>
      <c r="E343" t="s">
        <v>257</v>
      </c>
      <c r="F343">
        <v>3090.369999999999</v>
      </c>
      <c r="G343">
        <v>3350</v>
      </c>
      <c r="H343" t="s">
        <v>257</v>
      </c>
      <c r="I343" s="35" t="s">
        <v>257</v>
      </c>
      <c r="J343">
        <v>259.630000000001</v>
      </c>
      <c r="K343" t="s">
        <v>257</v>
      </c>
      <c r="L343" t="s">
        <v>257</v>
      </c>
      <c r="M343" t="s">
        <v>257</v>
      </c>
      <c r="N343" t="s">
        <v>257</v>
      </c>
      <c r="O343" t="s">
        <v>257</v>
      </c>
      <c r="P343" t="s">
        <v>257</v>
      </c>
      <c r="Q343" t="s">
        <v>257</v>
      </c>
      <c r="R343" t="s">
        <v>257</v>
      </c>
      <c r="S343" t="s">
        <v>257</v>
      </c>
      <c r="T343" t="s">
        <v>257</v>
      </c>
      <c r="U343" t="s">
        <v>257</v>
      </c>
    </row>
    <row r="344" spans="1:21" x14ac:dyDescent="0.25">
      <c r="A344" t="s">
        <v>257</v>
      </c>
      <c r="B344" t="s">
        <v>322</v>
      </c>
      <c r="C344" t="s">
        <v>75</v>
      </c>
      <c r="D344" t="s">
        <v>76</v>
      </c>
      <c r="E344" t="s">
        <v>257</v>
      </c>
      <c r="F344">
        <v>6168.429999999999</v>
      </c>
      <c r="G344">
        <v>7295</v>
      </c>
      <c r="H344" t="s">
        <v>257</v>
      </c>
      <c r="I344" s="35" t="s">
        <v>257</v>
      </c>
      <c r="J344">
        <v>1126.5700000000006</v>
      </c>
      <c r="K344" t="s">
        <v>257</v>
      </c>
      <c r="L344" t="s">
        <v>257</v>
      </c>
      <c r="M344" t="s">
        <v>257</v>
      </c>
      <c r="N344" t="s">
        <v>257</v>
      </c>
      <c r="O344" t="s">
        <v>257</v>
      </c>
      <c r="P344" t="s">
        <v>257</v>
      </c>
      <c r="Q344" t="s">
        <v>257</v>
      </c>
      <c r="R344" t="s">
        <v>257</v>
      </c>
      <c r="S344" t="s">
        <v>257</v>
      </c>
      <c r="T344" t="s">
        <v>257</v>
      </c>
      <c r="U344" t="s">
        <v>257</v>
      </c>
    </row>
    <row r="345" spans="1:21" x14ac:dyDescent="0.25">
      <c r="A345" t="s">
        <v>257</v>
      </c>
      <c r="B345" t="s">
        <v>323</v>
      </c>
      <c r="C345" t="s">
        <v>77</v>
      </c>
      <c r="D345" t="s">
        <v>78</v>
      </c>
      <c r="E345" t="s">
        <v>257</v>
      </c>
      <c r="F345">
        <v>3986.54</v>
      </c>
      <c r="G345">
        <v>5895</v>
      </c>
      <c r="H345" t="s">
        <v>257</v>
      </c>
      <c r="I345" s="35" t="s">
        <v>257</v>
      </c>
      <c r="J345">
        <v>1908.46</v>
      </c>
      <c r="K345" t="s">
        <v>257</v>
      </c>
      <c r="L345" t="s">
        <v>257</v>
      </c>
      <c r="M345" t="s">
        <v>257</v>
      </c>
      <c r="N345" t="s">
        <v>257</v>
      </c>
      <c r="O345" t="s">
        <v>257</v>
      </c>
      <c r="P345" t="s">
        <v>257</v>
      </c>
      <c r="Q345" t="s">
        <v>257</v>
      </c>
      <c r="R345" t="s">
        <v>257</v>
      </c>
      <c r="S345" t="s">
        <v>257</v>
      </c>
      <c r="T345" t="s">
        <v>257</v>
      </c>
      <c r="U345" t="s">
        <v>257</v>
      </c>
    </row>
    <row r="346" spans="1:21" x14ac:dyDescent="0.25">
      <c r="A346" t="s">
        <v>257</v>
      </c>
      <c r="B346" t="s">
        <v>287</v>
      </c>
      <c r="C346" t="s">
        <v>69</v>
      </c>
      <c r="D346" t="s">
        <v>70</v>
      </c>
      <c r="E346" t="s">
        <v>257</v>
      </c>
      <c r="F346">
        <v>1359.7</v>
      </c>
      <c r="G346">
        <v>2217</v>
      </c>
      <c r="H346" t="s">
        <v>257</v>
      </c>
      <c r="I346" s="35" t="s">
        <v>257</v>
      </c>
      <c r="J346">
        <v>857.3</v>
      </c>
      <c r="K346" t="s">
        <v>257</v>
      </c>
      <c r="L346" t="s">
        <v>257</v>
      </c>
      <c r="M346" t="s">
        <v>257</v>
      </c>
      <c r="N346" t="s">
        <v>257</v>
      </c>
      <c r="O346" t="s">
        <v>257</v>
      </c>
      <c r="P346" t="s">
        <v>257</v>
      </c>
      <c r="Q346" t="s">
        <v>257</v>
      </c>
      <c r="R346" t="s">
        <v>257</v>
      </c>
      <c r="S346" t="s">
        <v>257</v>
      </c>
      <c r="T346" t="s">
        <v>257</v>
      </c>
      <c r="U346" t="s">
        <v>257</v>
      </c>
    </row>
    <row r="347" spans="1:21" x14ac:dyDescent="0.25">
      <c r="A347" t="s">
        <v>257</v>
      </c>
      <c r="B347" t="s">
        <v>79</v>
      </c>
      <c r="C347" t="s">
        <v>80</v>
      </c>
      <c r="D347" t="s">
        <v>81</v>
      </c>
      <c r="E347" t="s">
        <v>257</v>
      </c>
      <c r="F347">
        <v>1690.46</v>
      </c>
      <c r="G347">
        <v>3200</v>
      </c>
      <c r="H347" t="s">
        <v>257</v>
      </c>
      <c r="I347" s="35" t="s">
        <v>257</v>
      </c>
      <c r="J347">
        <v>1509.54</v>
      </c>
      <c r="K347" t="s">
        <v>257</v>
      </c>
      <c r="L347" t="s">
        <v>257</v>
      </c>
      <c r="M347" t="s">
        <v>257</v>
      </c>
      <c r="N347" t="s">
        <v>257</v>
      </c>
      <c r="O347" t="s">
        <v>257</v>
      </c>
      <c r="P347" t="s">
        <v>257</v>
      </c>
      <c r="Q347" t="s">
        <v>257</v>
      </c>
      <c r="R347" t="s">
        <v>257</v>
      </c>
      <c r="S347" t="s">
        <v>257</v>
      </c>
      <c r="T347" t="s">
        <v>257</v>
      </c>
      <c r="U347" t="s">
        <v>257</v>
      </c>
    </row>
    <row r="348" spans="1:21" x14ac:dyDescent="0.25">
      <c r="A348" t="s">
        <v>257</v>
      </c>
      <c r="B348" t="s">
        <v>82</v>
      </c>
      <c r="C348" t="s">
        <v>83</v>
      </c>
      <c r="D348" t="s">
        <v>74</v>
      </c>
      <c r="E348" t="s">
        <v>257</v>
      </c>
      <c r="F348">
        <v>1741.67</v>
      </c>
      <c r="G348">
        <v>2295</v>
      </c>
      <c r="H348" t="s">
        <v>257</v>
      </c>
      <c r="I348" s="35" t="s">
        <v>257</v>
      </c>
      <c r="J348">
        <v>553.3299999999999</v>
      </c>
      <c r="K348" t="s">
        <v>257</v>
      </c>
      <c r="L348" t="s">
        <v>257</v>
      </c>
      <c r="M348" t="s">
        <v>257</v>
      </c>
      <c r="N348" t="s">
        <v>257</v>
      </c>
      <c r="O348" t="s">
        <v>257</v>
      </c>
      <c r="P348" t="s">
        <v>257</v>
      </c>
      <c r="Q348" t="s">
        <v>257</v>
      </c>
      <c r="R348" t="s">
        <v>257</v>
      </c>
      <c r="S348" t="s">
        <v>257</v>
      </c>
      <c r="T348" t="s">
        <v>257</v>
      </c>
      <c r="U348" t="s">
        <v>257</v>
      </c>
    </row>
    <row r="349" spans="1:21" x14ac:dyDescent="0.25">
      <c r="A349" t="s">
        <v>257</v>
      </c>
      <c r="B349" t="s">
        <v>84</v>
      </c>
      <c r="C349" t="s">
        <v>85</v>
      </c>
      <c r="D349" t="s">
        <v>86</v>
      </c>
      <c r="E349" t="s">
        <v>257</v>
      </c>
      <c r="F349">
        <v>1719.95</v>
      </c>
      <c r="G349">
        <v>2900</v>
      </c>
      <c r="H349" t="s">
        <v>257</v>
      </c>
      <c r="I349" s="35" t="s">
        <v>257</v>
      </c>
      <c r="J349">
        <v>1180.05</v>
      </c>
      <c r="K349" t="s">
        <v>257</v>
      </c>
      <c r="L349" t="s">
        <v>257</v>
      </c>
      <c r="M349" t="s">
        <v>257</v>
      </c>
      <c r="N349" t="s">
        <v>257</v>
      </c>
      <c r="O349" t="s">
        <v>257</v>
      </c>
      <c r="P349" t="s">
        <v>257</v>
      </c>
      <c r="Q349" t="s">
        <v>257</v>
      </c>
      <c r="R349" t="s">
        <v>257</v>
      </c>
      <c r="S349" t="s">
        <v>257</v>
      </c>
      <c r="T349" t="s">
        <v>257</v>
      </c>
      <c r="U349" t="s">
        <v>257</v>
      </c>
    </row>
    <row r="350" spans="1:21" x14ac:dyDescent="0.25">
      <c r="A350" t="s">
        <v>257</v>
      </c>
      <c r="B350" t="s">
        <v>87</v>
      </c>
      <c r="C350" t="s">
        <v>88</v>
      </c>
      <c r="D350" t="s">
        <v>86</v>
      </c>
      <c r="E350" t="s">
        <v>257</v>
      </c>
      <c r="F350">
        <v>3104.93</v>
      </c>
      <c r="G350">
        <v>4565</v>
      </c>
      <c r="H350" t="s">
        <v>257</v>
      </c>
      <c r="I350" s="35" t="s">
        <v>257</v>
      </c>
      <c r="J350">
        <v>1460.0700000000002</v>
      </c>
      <c r="K350" t="s">
        <v>257</v>
      </c>
      <c r="L350" t="s">
        <v>257</v>
      </c>
      <c r="M350" t="s">
        <v>257</v>
      </c>
      <c r="N350" t="s">
        <v>257</v>
      </c>
      <c r="O350" t="s">
        <v>257</v>
      </c>
      <c r="P350" t="s">
        <v>257</v>
      </c>
      <c r="Q350" t="s">
        <v>257</v>
      </c>
      <c r="R350" t="s">
        <v>257</v>
      </c>
      <c r="S350" t="s">
        <v>257</v>
      </c>
      <c r="T350" t="s">
        <v>257</v>
      </c>
      <c r="U350" t="s">
        <v>257</v>
      </c>
    </row>
    <row r="351" spans="1:21" x14ac:dyDescent="0.25">
      <c r="A351" t="s">
        <v>257</v>
      </c>
      <c r="B351" t="s">
        <v>286</v>
      </c>
      <c r="C351" t="s">
        <v>89</v>
      </c>
      <c r="D351" t="s">
        <v>90</v>
      </c>
      <c r="E351" t="s">
        <v>257</v>
      </c>
      <c r="F351">
        <v>3530.94</v>
      </c>
      <c r="G351">
        <v>3995</v>
      </c>
      <c r="H351" t="s">
        <v>257</v>
      </c>
      <c r="I351" s="35" t="s">
        <v>257</v>
      </c>
      <c r="J351">
        <v>464.05999999999995</v>
      </c>
      <c r="K351" t="s">
        <v>257</v>
      </c>
      <c r="L351" t="s">
        <v>257</v>
      </c>
      <c r="M351" t="s">
        <v>257</v>
      </c>
      <c r="N351" t="s">
        <v>257</v>
      </c>
      <c r="O351" t="s">
        <v>257</v>
      </c>
      <c r="P351" t="s">
        <v>257</v>
      </c>
      <c r="Q351" t="s">
        <v>257</v>
      </c>
      <c r="R351" t="s">
        <v>257</v>
      </c>
      <c r="S351" t="s">
        <v>257</v>
      </c>
      <c r="T351" t="s">
        <v>257</v>
      </c>
      <c r="U351" t="s">
        <v>257</v>
      </c>
    </row>
    <row r="352" spans="1:21" x14ac:dyDescent="0.25">
      <c r="A352" t="s">
        <v>257</v>
      </c>
      <c r="B352" t="s">
        <v>324</v>
      </c>
      <c r="C352" t="s">
        <v>91</v>
      </c>
      <c r="D352" t="s">
        <v>92</v>
      </c>
      <c r="E352" t="s">
        <v>257</v>
      </c>
      <c r="F352">
        <v>2450.67</v>
      </c>
      <c r="G352">
        <v>4000</v>
      </c>
      <c r="H352" t="s">
        <v>257</v>
      </c>
      <c r="I352" s="35" t="s">
        <v>257</v>
      </c>
      <c r="J352">
        <v>1549.33</v>
      </c>
      <c r="K352" t="s">
        <v>257</v>
      </c>
      <c r="L352" t="s">
        <v>257</v>
      </c>
      <c r="M352" t="s">
        <v>257</v>
      </c>
      <c r="N352" t="s">
        <v>257</v>
      </c>
      <c r="O352" t="s">
        <v>257</v>
      </c>
      <c r="P352" t="s">
        <v>257</v>
      </c>
      <c r="Q352" t="s">
        <v>257</v>
      </c>
      <c r="R352" t="s">
        <v>257</v>
      </c>
      <c r="S352" t="s">
        <v>257</v>
      </c>
      <c r="T352" t="s">
        <v>257</v>
      </c>
      <c r="U352" t="s">
        <v>257</v>
      </c>
    </row>
    <row r="353" spans="1:21" x14ac:dyDescent="0.25">
      <c r="A353" t="s">
        <v>257</v>
      </c>
      <c r="B353" t="s">
        <v>325</v>
      </c>
      <c r="C353" t="s">
        <v>93</v>
      </c>
      <c r="D353" t="s">
        <v>94</v>
      </c>
      <c r="E353" t="s">
        <v>257</v>
      </c>
      <c r="F353">
        <v>1649.24</v>
      </c>
      <c r="G353">
        <v>2600</v>
      </c>
      <c r="H353" t="s">
        <v>257</v>
      </c>
      <c r="I353" s="35" t="s">
        <v>257</v>
      </c>
      <c r="J353">
        <v>950.76</v>
      </c>
      <c r="K353" t="s">
        <v>257</v>
      </c>
      <c r="L353" t="s">
        <v>257</v>
      </c>
      <c r="M353" t="s">
        <v>257</v>
      </c>
      <c r="N353" t="s">
        <v>257</v>
      </c>
      <c r="O353" t="s">
        <v>257</v>
      </c>
      <c r="P353" t="s">
        <v>257</v>
      </c>
      <c r="Q353" t="s">
        <v>257</v>
      </c>
      <c r="R353" t="s">
        <v>257</v>
      </c>
      <c r="S353" t="s">
        <v>257</v>
      </c>
      <c r="T353" t="s">
        <v>257</v>
      </c>
      <c r="U353" t="s">
        <v>257</v>
      </c>
    </row>
    <row r="354" spans="1:21" x14ac:dyDescent="0.25">
      <c r="A354" t="s">
        <v>257</v>
      </c>
      <c r="B354" t="s">
        <v>326</v>
      </c>
      <c r="C354" t="s">
        <v>95</v>
      </c>
      <c r="D354" t="s">
        <v>96</v>
      </c>
      <c r="E354" t="s">
        <v>257</v>
      </c>
      <c r="F354">
        <v>1051.16</v>
      </c>
      <c r="G354">
        <v>2400</v>
      </c>
      <c r="H354" t="s">
        <v>257</v>
      </c>
      <c r="I354" s="35" t="s">
        <v>257</v>
      </c>
      <c r="J354">
        <v>1348.84</v>
      </c>
      <c r="K354" t="s">
        <v>257</v>
      </c>
      <c r="L354" t="s">
        <v>257</v>
      </c>
      <c r="M354" t="s">
        <v>257</v>
      </c>
      <c r="N354" t="s">
        <v>257</v>
      </c>
      <c r="O354" t="s">
        <v>257</v>
      </c>
      <c r="P354" t="s">
        <v>257</v>
      </c>
      <c r="Q354" t="s">
        <v>257</v>
      </c>
      <c r="R354" t="s">
        <v>257</v>
      </c>
      <c r="S354" t="s">
        <v>257</v>
      </c>
      <c r="T354" t="s">
        <v>257</v>
      </c>
      <c r="U354" t="s">
        <v>257</v>
      </c>
    </row>
    <row r="355" spans="1:21" x14ac:dyDescent="0.25">
      <c r="A355" t="s">
        <v>257</v>
      </c>
      <c r="B355" t="s">
        <v>327</v>
      </c>
      <c r="C355" t="s">
        <v>97</v>
      </c>
      <c r="D355" t="s">
        <v>98</v>
      </c>
      <c r="E355" t="s">
        <v>257</v>
      </c>
      <c r="F355">
        <v>910.3100000000001</v>
      </c>
      <c r="G355">
        <v>1995</v>
      </c>
      <c r="H355" t="s">
        <v>257</v>
      </c>
      <c r="I355" s="35" t="s">
        <v>257</v>
      </c>
      <c r="J355">
        <v>1084.69</v>
      </c>
      <c r="K355" t="s">
        <v>257</v>
      </c>
      <c r="L355" t="s">
        <v>257</v>
      </c>
      <c r="M355" t="s">
        <v>257</v>
      </c>
      <c r="N355" t="s">
        <v>257</v>
      </c>
      <c r="O355" t="s">
        <v>257</v>
      </c>
      <c r="P355" t="s">
        <v>257</v>
      </c>
      <c r="Q355" t="s">
        <v>257</v>
      </c>
      <c r="R355" t="s">
        <v>257</v>
      </c>
      <c r="S355" t="s">
        <v>257</v>
      </c>
      <c r="T355" t="s">
        <v>257</v>
      </c>
      <c r="U355" t="s">
        <v>257</v>
      </c>
    </row>
    <row r="356" spans="1:21" x14ac:dyDescent="0.25">
      <c r="A356" t="s">
        <v>257</v>
      </c>
      <c r="B356" t="s">
        <v>328</v>
      </c>
      <c r="C356" t="s">
        <v>99</v>
      </c>
      <c r="D356" t="s">
        <v>100</v>
      </c>
      <c r="E356" t="s">
        <v>257</v>
      </c>
      <c r="F356">
        <v>3434.130000000001</v>
      </c>
      <c r="G356">
        <v>5995</v>
      </c>
      <c r="H356" t="s">
        <v>257</v>
      </c>
      <c r="I356" s="35" t="s">
        <v>257</v>
      </c>
      <c r="J356">
        <v>2560.869999999999</v>
      </c>
      <c r="K356" t="s">
        <v>257</v>
      </c>
      <c r="L356" t="s">
        <v>257</v>
      </c>
      <c r="M356" t="s">
        <v>257</v>
      </c>
      <c r="N356" t="s">
        <v>257</v>
      </c>
      <c r="O356" t="s">
        <v>257</v>
      </c>
      <c r="P356" t="s">
        <v>257</v>
      </c>
      <c r="Q356" t="s">
        <v>257</v>
      </c>
      <c r="R356" t="s">
        <v>257</v>
      </c>
      <c r="S356" t="s">
        <v>257</v>
      </c>
      <c r="T356" t="s">
        <v>257</v>
      </c>
      <c r="U356" t="s">
        <v>257</v>
      </c>
    </row>
    <row r="357" spans="1:21" x14ac:dyDescent="0.25">
      <c r="A357" t="s">
        <v>257</v>
      </c>
      <c r="B357" t="s">
        <v>329</v>
      </c>
      <c r="C357" t="s">
        <v>101</v>
      </c>
      <c r="D357" t="s">
        <v>102</v>
      </c>
      <c r="E357" t="s">
        <v>257</v>
      </c>
      <c r="F357">
        <v>1625.91</v>
      </c>
      <c r="G357">
        <v>3100</v>
      </c>
      <c r="H357" t="s">
        <v>257</v>
      </c>
      <c r="I357" s="35" t="s">
        <v>257</v>
      </c>
      <c r="J357">
        <v>1474.09</v>
      </c>
      <c r="K357" t="s">
        <v>257</v>
      </c>
      <c r="L357" t="s">
        <v>257</v>
      </c>
      <c r="M357" t="s">
        <v>257</v>
      </c>
      <c r="N357" t="s">
        <v>257</v>
      </c>
      <c r="O357" t="s">
        <v>257</v>
      </c>
      <c r="P357" t="s">
        <v>257</v>
      </c>
      <c r="Q357" t="s">
        <v>257</v>
      </c>
      <c r="R357" t="s">
        <v>257</v>
      </c>
      <c r="S357" t="s">
        <v>257</v>
      </c>
      <c r="T357" t="s">
        <v>257</v>
      </c>
      <c r="U357" t="s">
        <v>257</v>
      </c>
    </row>
    <row r="358" spans="1:21" x14ac:dyDescent="0.25">
      <c r="A358" t="s">
        <v>257</v>
      </c>
      <c r="B358" t="s">
        <v>330</v>
      </c>
      <c r="C358" t="s">
        <v>103</v>
      </c>
      <c r="D358" t="s">
        <v>94</v>
      </c>
      <c r="E358" t="s">
        <v>257</v>
      </c>
      <c r="F358">
        <v>1964.54</v>
      </c>
      <c r="G358">
        <v>2650</v>
      </c>
      <c r="H358" t="s">
        <v>257</v>
      </c>
      <c r="I358" s="35" t="s">
        <v>257</v>
      </c>
      <c r="J358">
        <v>685.46</v>
      </c>
      <c r="K358" t="s">
        <v>257</v>
      </c>
      <c r="L358" t="s">
        <v>257</v>
      </c>
      <c r="M358" t="s">
        <v>257</v>
      </c>
      <c r="N358" t="s">
        <v>257</v>
      </c>
      <c r="O358" t="s">
        <v>257</v>
      </c>
      <c r="P358" t="s">
        <v>257</v>
      </c>
      <c r="Q358" t="s">
        <v>257</v>
      </c>
      <c r="R358" t="s">
        <v>257</v>
      </c>
      <c r="S358" t="s">
        <v>257</v>
      </c>
      <c r="T358" t="s">
        <v>257</v>
      </c>
      <c r="U358" t="s">
        <v>257</v>
      </c>
    </row>
    <row r="359" spans="1:21" x14ac:dyDescent="0.25">
      <c r="A359" t="s">
        <v>257</v>
      </c>
      <c r="B359" t="s">
        <v>257</v>
      </c>
      <c r="C359" t="s">
        <v>108</v>
      </c>
      <c r="D359" t="s">
        <v>109</v>
      </c>
      <c r="E359" t="s">
        <v>110</v>
      </c>
      <c r="F359">
        <v>4386.43</v>
      </c>
      <c r="G359">
        <v>5394</v>
      </c>
      <c r="H359" t="s">
        <v>257</v>
      </c>
      <c r="I359" s="35" t="s">
        <v>257</v>
      </c>
      <c r="J359">
        <v>1007.5699999999997</v>
      </c>
      <c r="K359" t="s">
        <v>257</v>
      </c>
      <c r="L359" t="s">
        <v>257</v>
      </c>
      <c r="M359" t="s">
        <v>257</v>
      </c>
      <c r="N359" t="s">
        <v>257</v>
      </c>
      <c r="O359" t="s">
        <v>257</v>
      </c>
      <c r="P359" t="s">
        <v>257</v>
      </c>
      <c r="Q359" t="s">
        <v>257</v>
      </c>
      <c r="R359" t="s">
        <v>257</v>
      </c>
      <c r="S359" t="s">
        <v>257</v>
      </c>
      <c r="T359" t="s">
        <v>257</v>
      </c>
      <c r="U359" t="s">
        <v>257</v>
      </c>
    </row>
    <row r="360" spans="1:21" x14ac:dyDescent="0.25">
      <c r="A360" t="s">
        <v>257</v>
      </c>
      <c r="B360" t="s">
        <v>257</v>
      </c>
      <c r="C360" t="s">
        <v>139</v>
      </c>
      <c r="D360" t="s">
        <v>70</v>
      </c>
      <c r="E360" t="s">
        <v>113</v>
      </c>
      <c r="F360">
        <v>3556.6099999999997</v>
      </c>
      <c r="G360">
        <v>3815</v>
      </c>
      <c r="H360" t="s">
        <v>257</v>
      </c>
      <c r="I360" s="35" t="s">
        <v>257</v>
      </c>
      <c r="J360">
        <v>258.3900000000003</v>
      </c>
      <c r="K360" t="s">
        <v>257</v>
      </c>
      <c r="L360" t="s">
        <v>257</v>
      </c>
      <c r="M360" t="s">
        <v>257</v>
      </c>
      <c r="N360" t="s">
        <v>257</v>
      </c>
      <c r="O360" t="s">
        <v>257</v>
      </c>
      <c r="P360" t="s">
        <v>257</v>
      </c>
      <c r="Q360" t="s">
        <v>257</v>
      </c>
      <c r="R360" t="s">
        <v>257</v>
      </c>
      <c r="S360" t="s">
        <v>257</v>
      </c>
      <c r="T360" t="s">
        <v>257</v>
      </c>
      <c r="U360" t="s">
        <v>257</v>
      </c>
    </row>
    <row r="361" spans="1:21" x14ac:dyDescent="0.25">
      <c r="A361" t="s">
        <v>257</v>
      </c>
      <c r="B361" t="s">
        <v>257</v>
      </c>
      <c r="C361" t="s">
        <v>141</v>
      </c>
      <c r="D361" t="s">
        <v>142</v>
      </c>
      <c r="E361" t="s">
        <v>113</v>
      </c>
      <c r="F361">
        <v>5248.403333333334</v>
      </c>
      <c r="G361">
        <v>7495</v>
      </c>
      <c r="H361" t="s">
        <v>257</v>
      </c>
      <c r="I361" s="35" t="s">
        <v>257</v>
      </c>
      <c r="J361">
        <v>2246.5966666666664</v>
      </c>
      <c r="K361" t="s">
        <v>257</v>
      </c>
      <c r="L361" t="s">
        <v>257</v>
      </c>
      <c r="M361" t="s">
        <v>257</v>
      </c>
      <c r="N361" t="s">
        <v>257</v>
      </c>
      <c r="O361" t="s">
        <v>257</v>
      </c>
      <c r="P361" t="s">
        <v>257</v>
      </c>
      <c r="Q361" t="s">
        <v>257</v>
      </c>
      <c r="R361" t="s">
        <v>257</v>
      </c>
      <c r="S361" t="s">
        <v>257</v>
      </c>
      <c r="T361" t="s">
        <v>257</v>
      </c>
      <c r="U361" t="s">
        <v>257</v>
      </c>
    </row>
    <row r="362" spans="1:21" x14ac:dyDescent="0.25">
      <c r="A362" t="s">
        <v>257</v>
      </c>
      <c r="B362" t="s">
        <v>257</v>
      </c>
      <c r="C362" t="s">
        <v>144</v>
      </c>
      <c r="D362" t="s">
        <v>122</v>
      </c>
      <c r="E362" t="s">
        <v>106</v>
      </c>
      <c r="F362">
        <v>4818.143333333333</v>
      </c>
      <c r="G362">
        <v>5995</v>
      </c>
      <c r="H362" t="s">
        <v>257</v>
      </c>
      <c r="I362" s="35" t="s">
        <v>257</v>
      </c>
      <c r="J362">
        <v>1176.8566666666666</v>
      </c>
      <c r="K362" t="s">
        <v>257</v>
      </c>
      <c r="L362" t="s">
        <v>257</v>
      </c>
      <c r="M362" t="s">
        <v>257</v>
      </c>
      <c r="N362" t="s">
        <v>257</v>
      </c>
      <c r="O362" t="s">
        <v>257</v>
      </c>
      <c r="P362" t="s">
        <v>257</v>
      </c>
      <c r="Q362" t="s">
        <v>257</v>
      </c>
      <c r="R362" t="s">
        <v>257</v>
      </c>
      <c r="S362" t="s">
        <v>257</v>
      </c>
      <c r="T362" t="s">
        <v>257</v>
      </c>
      <c r="U362" t="s">
        <v>257</v>
      </c>
    </row>
    <row r="363" spans="1:21" x14ac:dyDescent="0.25">
      <c r="A363" t="s">
        <v>257</v>
      </c>
      <c r="B363" t="s">
        <v>257</v>
      </c>
      <c r="C363" t="s">
        <v>145</v>
      </c>
      <c r="D363" t="s">
        <v>146</v>
      </c>
      <c r="E363" t="s">
        <v>129</v>
      </c>
      <c r="F363">
        <v>4399.21</v>
      </c>
      <c r="G363">
        <v>7250</v>
      </c>
      <c r="H363" t="s">
        <v>257</v>
      </c>
      <c r="I363" s="35" t="s">
        <v>257</v>
      </c>
      <c r="J363">
        <v>2850.79</v>
      </c>
      <c r="K363" t="s">
        <v>257</v>
      </c>
      <c r="L363" t="s">
        <v>257</v>
      </c>
      <c r="M363" t="s">
        <v>257</v>
      </c>
      <c r="N363" t="s">
        <v>257</v>
      </c>
      <c r="O363" t="s">
        <v>257</v>
      </c>
      <c r="P363" t="s">
        <v>257</v>
      </c>
      <c r="Q363" t="s">
        <v>257</v>
      </c>
      <c r="R363" t="s">
        <v>257</v>
      </c>
      <c r="S363" t="s">
        <v>257</v>
      </c>
      <c r="T363" t="s">
        <v>257</v>
      </c>
      <c r="U363" t="s">
        <v>257</v>
      </c>
    </row>
    <row r="364" spans="1:21" x14ac:dyDescent="0.25">
      <c r="A364" t="s">
        <v>257</v>
      </c>
      <c r="B364" t="s">
        <v>257</v>
      </c>
      <c r="C364" t="s">
        <v>147</v>
      </c>
      <c r="D364" t="s">
        <v>148</v>
      </c>
      <c r="E364" t="s">
        <v>107</v>
      </c>
      <c r="F364">
        <v>8</v>
      </c>
      <c r="G364">
        <v>1995</v>
      </c>
      <c r="H364" t="s">
        <v>257</v>
      </c>
      <c r="I364" s="35" t="s">
        <v>257</v>
      </c>
      <c r="J364">
        <v>1987</v>
      </c>
      <c r="K364" t="s">
        <v>257</v>
      </c>
      <c r="L364" t="s">
        <v>257</v>
      </c>
      <c r="M364" t="s">
        <v>257</v>
      </c>
      <c r="N364" t="s">
        <v>257</v>
      </c>
      <c r="O364" t="s">
        <v>257</v>
      </c>
      <c r="P364" t="s">
        <v>257</v>
      </c>
      <c r="Q364" t="s">
        <v>257</v>
      </c>
      <c r="R364" t="s">
        <v>257</v>
      </c>
      <c r="S364" t="s">
        <v>257</v>
      </c>
      <c r="T364" t="s">
        <v>257</v>
      </c>
      <c r="U364" t="s">
        <v>257</v>
      </c>
    </row>
    <row r="365" spans="1:21" x14ac:dyDescent="0.25">
      <c r="A365" t="s">
        <v>257</v>
      </c>
      <c r="B365" t="s">
        <v>257</v>
      </c>
      <c r="C365" t="s">
        <v>149</v>
      </c>
      <c r="D365" t="s">
        <v>150</v>
      </c>
      <c r="E365" t="s">
        <v>107</v>
      </c>
      <c r="F365">
        <v>3730.74</v>
      </c>
      <c r="G365">
        <v>5400</v>
      </c>
      <c r="H365" t="s">
        <v>257</v>
      </c>
      <c r="I365" s="35" t="s">
        <v>257</v>
      </c>
      <c r="J365">
        <v>1669.2600000000002</v>
      </c>
      <c r="K365" t="s">
        <v>257</v>
      </c>
      <c r="L365" t="s">
        <v>257</v>
      </c>
      <c r="M365" t="s">
        <v>257</v>
      </c>
      <c r="N365" t="s">
        <v>257</v>
      </c>
      <c r="O365" t="s">
        <v>257</v>
      </c>
      <c r="P365" t="s">
        <v>257</v>
      </c>
      <c r="Q365" t="s">
        <v>257</v>
      </c>
      <c r="R365" t="s">
        <v>257</v>
      </c>
      <c r="S365" t="s">
        <v>257</v>
      </c>
      <c r="T365" t="s">
        <v>257</v>
      </c>
      <c r="U365" t="s">
        <v>257</v>
      </c>
    </row>
    <row r="366" spans="1:21" x14ac:dyDescent="0.25">
      <c r="A366" t="s">
        <v>257</v>
      </c>
      <c r="B366" t="s">
        <v>257</v>
      </c>
      <c r="C366" t="s">
        <v>155</v>
      </c>
      <c r="D366" t="s">
        <v>156</v>
      </c>
      <c r="E366" t="s">
        <v>129</v>
      </c>
      <c r="F366">
        <v>4528.8</v>
      </c>
      <c r="G366">
        <v>6595</v>
      </c>
      <c r="H366" t="s">
        <v>257</v>
      </c>
      <c r="I366" s="35" t="s">
        <v>257</v>
      </c>
      <c r="J366">
        <v>2066.2</v>
      </c>
      <c r="K366" t="s">
        <v>257</v>
      </c>
      <c r="L366" t="s">
        <v>257</v>
      </c>
      <c r="M366" t="s">
        <v>257</v>
      </c>
      <c r="N366" t="s">
        <v>257</v>
      </c>
      <c r="O366" t="s">
        <v>257</v>
      </c>
      <c r="P366" t="s">
        <v>257</v>
      </c>
      <c r="Q366" t="s">
        <v>257</v>
      </c>
      <c r="R366" t="s">
        <v>257</v>
      </c>
      <c r="S366" t="s">
        <v>257</v>
      </c>
      <c r="T366" t="s">
        <v>257</v>
      </c>
      <c r="U366" t="s">
        <v>257</v>
      </c>
    </row>
    <row r="367" spans="1:21" x14ac:dyDescent="0.25">
      <c r="A367" t="s">
        <v>257</v>
      </c>
      <c r="B367" t="s">
        <v>257</v>
      </c>
      <c r="C367" t="s">
        <v>157</v>
      </c>
      <c r="D367" t="s">
        <v>158</v>
      </c>
      <c r="E367" t="s">
        <v>113</v>
      </c>
      <c r="F367">
        <v>4895.8</v>
      </c>
      <c r="G367">
        <v>7295</v>
      </c>
      <c r="H367" t="s">
        <v>257</v>
      </c>
      <c r="I367" s="35" t="s">
        <v>257</v>
      </c>
      <c r="J367">
        <v>2399.2</v>
      </c>
      <c r="K367" t="s">
        <v>257</v>
      </c>
      <c r="L367" t="s">
        <v>257</v>
      </c>
      <c r="M367" t="s">
        <v>257</v>
      </c>
      <c r="N367" t="s">
        <v>257</v>
      </c>
      <c r="O367" t="s">
        <v>257</v>
      </c>
      <c r="P367" t="s">
        <v>257</v>
      </c>
      <c r="Q367" t="s">
        <v>257</v>
      </c>
      <c r="R367" t="s">
        <v>257</v>
      </c>
      <c r="S367" t="s">
        <v>257</v>
      </c>
      <c r="T367" t="s">
        <v>257</v>
      </c>
      <c r="U367" t="s">
        <v>257</v>
      </c>
    </row>
    <row r="368" spans="1:21" x14ac:dyDescent="0.25">
      <c r="A368" t="s">
        <v>257</v>
      </c>
      <c r="B368" t="s">
        <v>257</v>
      </c>
      <c r="C368" t="s">
        <v>164</v>
      </c>
      <c r="D368" t="s">
        <v>86</v>
      </c>
      <c r="E368" t="s">
        <v>107</v>
      </c>
      <c r="F368">
        <v>783.6099999999999</v>
      </c>
      <c r="G368">
        <v>2950</v>
      </c>
      <c r="H368" t="s">
        <v>257</v>
      </c>
      <c r="I368" s="35" t="s">
        <v>257</v>
      </c>
      <c r="J368">
        <v>2166.3900000000003</v>
      </c>
      <c r="K368" t="s">
        <v>257</v>
      </c>
      <c r="L368" t="s">
        <v>257</v>
      </c>
      <c r="M368" t="s">
        <v>257</v>
      </c>
      <c r="N368" t="s">
        <v>257</v>
      </c>
      <c r="O368" t="s">
        <v>257</v>
      </c>
      <c r="P368" t="s">
        <v>257</v>
      </c>
      <c r="Q368" t="s">
        <v>257</v>
      </c>
      <c r="R368" t="s">
        <v>257</v>
      </c>
      <c r="S368" t="s">
        <v>257</v>
      </c>
      <c r="T368" t="s">
        <v>257</v>
      </c>
      <c r="U368" t="s">
        <v>257</v>
      </c>
    </row>
    <row r="369" spans="1:21" x14ac:dyDescent="0.25">
      <c r="A369" t="s">
        <v>257</v>
      </c>
      <c r="B369" t="s">
        <v>257</v>
      </c>
      <c r="C369" t="s">
        <v>165</v>
      </c>
      <c r="D369" t="s">
        <v>166</v>
      </c>
      <c r="E369" t="s">
        <v>125</v>
      </c>
      <c r="F369">
        <v>5602.543333333333</v>
      </c>
      <c r="G369">
        <v>7793.28</v>
      </c>
      <c r="H369" t="s">
        <v>257</v>
      </c>
      <c r="I369" s="35" t="s">
        <v>257</v>
      </c>
      <c r="J369">
        <v>2190.7366666666667</v>
      </c>
      <c r="K369" t="s">
        <v>257</v>
      </c>
      <c r="L369" t="s">
        <v>257</v>
      </c>
      <c r="M369" t="s">
        <v>257</v>
      </c>
      <c r="N369" t="s">
        <v>257</v>
      </c>
      <c r="O369" t="s">
        <v>257</v>
      </c>
      <c r="P369" t="s">
        <v>257</v>
      </c>
      <c r="Q369" t="s">
        <v>257</v>
      </c>
      <c r="R369" t="s">
        <v>257</v>
      </c>
      <c r="S369" t="s">
        <v>257</v>
      </c>
      <c r="T369" t="s">
        <v>257</v>
      </c>
      <c r="U369" t="s">
        <v>257</v>
      </c>
    </row>
    <row r="370" spans="1:21" x14ac:dyDescent="0.25">
      <c r="A370" t="s">
        <v>257</v>
      </c>
      <c r="B370" t="s">
        <v>278</v>
      </c>
      <c r="C370" t="s">
        <v>181</v>
      </c>
      <c r="D370" t="s">
        <v>182</v>
      </c>
      <c r="E370" t="s">
        <v>125</v>
      </c>
      <c r="F370">
        <v>4783.32</v>
      </c>
      <c r="G370">
        <v>6995</v>
      </c>
      <c r="H370" t="s">
        <v>257</v>
      </c>
      <c r="I370" s="35" t="s">
        <v>257</v>
      </c>
      <c r="J370">
        <v>2211.6800000000003</v>
      </c>
      <c r="K370" t="s">
        <v>257</v>
      </c>
      <c r="L370" t="s">
        <v>257</v>
      </c>
      <c r="M370" t="s">
        <v>257</v>
      </c>
      <c r="N370" t="s">
        <v>257</v>
      </c>
      <c r="O370" t="s">
        <v>257</v>
      </c>
      <c r="P370" t="s">
        <v>257</v>
      </c>
      <c r="Q370" t="s">
        <v>257</v>
      </c>
      <c r="R370" t="s">
        <v>257</v>
      </c>
      <c r="S370" t="s">
        <v>257</v>
      </c>
      <c r="T370" t="s">
        <v>257</v>
      </c>
      <c r="U370" t="s">
        <v>257</v>
      </c>
    </row>
    <row r="371" spans="1:21" x14ac:dyDescent="0.25">
      <c r="A371" t="s">
        <v>257</v>
      </c>
      <c r="B371" t="s">
        <v>258</v>
      </c>
      <c r="C371" t="s">
        <v>191</v>
      </c>
      <c r="D371" t="s">
        <v>131</v>
      </c>
      <c r="E371" t="s">
        <v>113</v>
      </c>
      <c r="F371">
        <v>7792.2</v>
      </c>
      <c r="G371">
        <v>9795</v>
      </c>
      <c r="H371" t="s">
        <v>257</v>
      </c>
      <c r="I371" s="35" t="s">
        <v>257</v>
      </c>
      <c r="J371">
        <v>2002.8000000000002</v>
      </c>
      <c r="K371" t="s">
        <v>257</v>
      </c>
      <c r="L371" t="s">
        <v>257</v>
      </c>
      <c r="M371" t="s">
        <v>257</v>
      </c>
      <c r="N371" t="s">
        <v>257</v>
      </c>
      <c r="O371" t="s">
        <v>257</v>
      </c>
      <c r="P371" t="s">
        <v>257</v>
      </c>
      <c r="Q371" t="s">
        <v>257</v>
      </c>
      <c r="R371" t="s">
        <v>257</v>
      </c>
      <c r="S371" t="s">
        <v>257</v>
      </c>
      <c r="T371" t="s">
        <v>257</v>
      </c>
      <c r="U371" t="s">
        <v>257</v>
      </c>
    </row>
    <row r="372" spans="1:21" x14ac:dyDescent="0.25">
      <c r="A372" t="s">
        <v>257</v>
      </c>
      <c r="B372" t="s">
        <v>261</v>
      </c>
      <c r="C372" t="s">
        <v>193</v>
      </c>
      <c r="D372" t="s">
        <v>194</v>
      </c>
      <c r="E372" t="s">
        <v>125</v>
      </c>
      <c r="F372">
        <v>5238.035</v>
      </c>
      <c r="G372">
        <v>6995</v>
      </c>
      <c r="H372" t="s">
        <v>257</v>
      </c>
      <c r="I372" s="35" t="s">
        <v>257</v>
      </c>
      <c r="J372">
        <v>1756.9650000000001</v>
      </c>
      <c r="K372" t="s">
        <v>257</v>
      </c>
      <c r="L372" t="s">
        <v>257</v>
      </c>
      <c r="M372" t="s">
        <v>257</v>
      </c>
      <c r="N372" t="s">
        <v>257</v>
      </c>
      <c r="O372" t="s">
        <v>257</v>
      </c>
      <c r="P372" t="s">
        <v>257</v>
      </c>
      <c r="Q372" t="s">
        <v>257</v>
      </c>
      <c r="R372" t="s">
        <v>257</v>
      </c>
      <c r="S372" t="s">
        <v>257</v>
      </c>
      <c r="T372" t="s">
        <v>257</v>
      </c>
      <c r="U372" t="s">
        <v>257</v>
      </c>
    </row>
    <row r="373" spans="1:21" x14ac:dyDescent="0.25">
      <c r="A373" t="s">
        <v>257</v>
      </c>
      <c r="B373" t="s">
        <v>269</v>
      </c>
      <c r="C373" t="s">
        <v>195</v>
      </c>
      <c r="D373" t="s">
        <v>122</v>
      </c>
      <c r="E373" t="s">
        <v>110</v>
      </c>
      <c r="F373">
        <v>4279.18</v>
      </c>
      <c r="G373">
        <v>5400</v>
      </c>
      <c r="H373" t="s">
        <v>257</v>
      </c>
      <c r="I373" s="35" t="s">
        <v>257</v>
      </c>
      <c r="J373">
        <v>1120.8199999999997</v>
      </c>
      <c r="K373" t="s">
        <v>257</v>
      </c>
      <c r="L373" t="s">
        <v>257</v>
      </c>
      <c r="M373" t="s">
        <v>257</v>
      </c>
      <c r="N373" t="s">
        <v>257</v>
      </c>
      <c r="O373" t="s">
        <v>257</v>
      </c>
      <c r="P373" t="s">
        <v>257</v>
      </c>
      <c r="Q373" t="s">
        <v>257</v>
      </c>
      <c r="R373" t="s">
        <v>257</v>
      </c>
      <c r="S373" t="s">
        <v>257</v>
      </c>
      <c r="T373" t="s">
        <v>257</v>
      </c>
      <c r="U373" t="s">
        <v>257</v>
      </c>
    </row>
    <row r="374" spans="1:21" x14ac:dyDescent="0.25">
      <c r="A374" t="s">
        <v>257</v>
      </c>
      <c r="B374" t="s">
        <v>331</v>
      </c>
      <c r="C374" t="s">
        <v>196</v>
      </c>
      <c r="D374" t="s">
        <v>197</v>
      </c>
      <c r="E374" t="s">
        <v>110</v>
      </c>
      <c r="F374">
        <v>3526.9366666666665</v>
      </c>
      <c r="G374">
        <v>5000</v>
      </c>
      <c r="H374" t="s">
        <v>257</v>
      </c>
      <c r="I374" s="35" t="s">
        <v>257</v>
      </c>
      <c r="J374">
        <v>1473.0633333333335</v>
      </c>
      <c r="K374" t="s">
        <v>257</v>
      </c>
      <c r="L374" t="s">
        <v>257</v>
      </c>
      <c r="M374" t="s">
        <v>257</v>
      </c>
      <c r="N374" t="s">
        <v>257</v>
      </c>
      <c r="O374" t="s">
        <v>257</v>
      </c>
      <c r="P374" t="s">
        <v>257</v>
      </c>
      <c r="Q374" t="s">
        <v>257</v>
      </c>
      <c r="R374" t="s">
        <v>257</v>
      </c>
      <c r="S374" t="s">
        <v>257</v>
      </c>
      <c r="T374" t="s">
        <v>257</v>
      </c>
      <c r="U374" t="s">
        <v>257</v>
      </c>
    </row>
    <row r="375" spans="1:21" x14ac:dyDescent="0.25">
      <c r="A375" t="s">
        <v>257</v>
      </c>
      <c r="B375" t="s">
        <v>332</v>
      </c>
      <c r="C375" t="s">
        <v>198</v>
      </c>
      <c r="D375" t="s">
        <v>199</v>
      </c>
      <c r="E375" t="s">
        <v>110</v>
      </c>
      <c r="F375">
        <v>4642.52</v>
      </c>
      <c r="G375">
        <v>5795</v>
      </c>
      <c r="H375" t="s">
        <v>257</v>
      </c>
      <c r="I375" s="35" t="s">
        <v>257</v>
      </c>
      <c r="J375">
        <v>1152.4799999999996</v>
      </c>
      <c r="K375" t="s">
        <v>257</v>
      </c>
      <c r="L375" t="s">
        <v>257</v>
      </c>
      <c r="M375" t="s">
        <v>257</v>
      </c>
      <c r="N375" t="s">
        <v>257</v>
      </c>
      <c r="O375" t="s">
        <v>257</v>
      </c>
      <c r="P375" t="s">
        <v>257</v>
      </c>
      <c r="Q375" t="s">
        <v>257</v>
      </c>
      <c r="R375" t="s">
        <v>257</v>
      </c>
      <c r="S375" t="s">
        <v>257</v>
      </c>
      <c r="T375" t="s">
        <v>257</v>
      </c>
      <c r="U375" t="s">
        <v>257</v>
      </c>
    </row>
    <row r="376" spans="1:21" x14ac:dyDescent="0.25">
      <c r="A376" t="s">
        <v>257</v>
      </c>
      <c r="B376" t="s">
        <v>333</v>
      </c>
      <c r="C376" t="s">
        <v>228</v>
      </c>
      <c r="D376" t="s">
        <v>229</v>
      </c>
      <c r="E376" t="s">
        <v>129</v>
      </c>
      <c r="F376">
        <v>5510.52</v>
      </c>
      <c r="G376">
        <v>7795</v>
      </c>
      <c r="H376" t="s">
        <v>257</v>
      </c>
      <c r="I376" s="35" t="s">
        <v>257</v>
      </c>
      <c r="J376">
        <v>2284.4799999999996</v>
      </c>
      <c r="K376" t="s">
        <v>257</v>
      </c>
      <c r="L376" t="s">
        <v>257</v>
      </c>
      <c r="M376" t="s">
        <v>257</v>
      </c>
      <c r="N376" t="s">
        <v>257</v>
      </c>
      <c r="O376" t="s">
        <v>257</v>
      </c>
      <c r="P376" t="s">
        <v>257</v>
      </c>
      <c r="Q376" t="s">
        <v>257</v>
      </c>
      <c r="R376" t="s">
        <v>257</v>
      </c>
      <c r="S376" t="s">
        <v>257</v>
      </c>
      <c r="T376" t="s">
        <v>257</v>
      </c>
      <c r="U376" t="s">
        <v>257</v>
      </c>
    </row>
    <row r="377" spans="1:21" x14ac:dyDescent="0.25">
      <c r="A377" t="s">
        <v>257</v>
      </c>
      <c r="B377" t="s">
        <v>319</v>
      </c>
      <c r="C377" t="s">
        <v>230</v>
      </c>
      <c r="D377" t="s">
        <v>231</v>
      </c>
      <c r="E377" t="s">
        <v>129</v>
      </c>
      <c r="F377">
        <v>8246.7</v>
      </c>
      <c r="G377">
        <v>8246.7</v>
      </c>
      <c r="H377" t="s">
        <v>257</v>
      </c>
      <c r="I377" s="35" t="s">
        <v>257</v>
      </c>
      <c r="J377">
        <v>0</v>
      </c>
      <c r="K377" t="s">
        <v>257</v>
      </c>
      <c r="L377" t="s">
        <v>257</v>
      </c>
      <c r="M377" t="s">
        <v>257</v>
      </c>
      <c r="N377" t="s">
        <v>257</v>
      </c>
      <c r="O377" t="s">
        <v>257</v>
      </c>
      <c r="P377" t="s">
        <v>257</v>
      </c>
      <c r="Q377" t="s">
        <v>257</v>
      </c>
      <c r="R377" t="s">
        <v>257</v>
      </c>
      <c r="S377" t="s">
        <v>257</v>
      </c>
      <c r="T377" t="s">
        <v>257</v>
      </c>
      <c r="U377" t="s">
        <v>257</v>
      </c>
    </row>
    <row r="378" spans="1:21" x14ac:dyDescent="0.25">
      <c r="A378" t="s">
        <v>257</v>
      </c>
      <c r="B378" t="s">
        <v>266</v>
      </c>
      <c r="C378" t="s">
        <v>236</v>
      </c>
      <c r="D378" t="s">
        <v>237</v>
      </c>
      <c r="E378" t="s">
        <v>129</v>
      </c>
      <c r="F378">
        <v>6397.64</v>
      </c>
      <c r="G378">
        <v>8695</v>
      </c>
      <c r="H378" t="s">
        <v>257</v>
      </c>
      <c r="I378" s="35" t="s">
        <v>257</v>
      </c>
      <c r="J378">
        <v>2297.3599999999997</v>
      </c>
      <c r="K378" t="s">
        <v>257</v>
      </c>
      <c r="L378" t="s">
        <v>257</v>
      </c>
      <c r="M378" t="s">
        <v>257</v>
      </c>
      <c r="N378" t="s">
        <v>257</v>
      </c>
      <c r="O378" t="s">
        <v>257</v>
      </c>
      <c r="P378" t="s">
        <v>257</v>
      </c>
      <c r="Q378" t="s">
        <v>257</v>
      </c>
      <c r="R378" t="s">
        <v>257</v>
      </c>
      <c r="S378" t="s">
        <v>257</v>
      </c>
      <c r="T378" t="s">
        <v>257</v>
      </c>
      <c r="U378" t="s">
        <v>257</v>
      </c>
    </row>
  </sheetData>
  <conditionalFormatting sqref="J65:J76 J93:J102">
    <cfRule type="cellIs" dxfId="0" priority="37" operator="lessThan">
      <formula>0</formula>
    </cfRule>
    <cfRule type="cellIs" dxfId="1" priority="38" operator="greaterThan">
      <formula>0</formula>
    </cfRule>
  </conditionalFormatting>
  <conditionalFormatting sqref="J80:J90">
    <cfRule type="cellIs" dxfId="2" priority="31" operator="lessThan">
      <formula>0</formula>
    </cfRule>
    <cfRule type="cellIs" dxfId="3" priority="32" operator="greaterThan">
      <formula>0</formula>
    </cfRule>
  </conditionalFormatting>
  <conditionalFormatting sqref="J106:J110">
    <cfRule type="cellIs" dxfId="4" priority="20" operator="lessThan">
      <formula>0</formula>
    </cfRule>
    <cfRule type="cellIs" dxfId="5" priority="21" operator="greaterThan">
      <formula>0</formula>
    </cfRule>
  </conditionalFormatting>
  <conditionalFormatting sqref="J112">
    <cfRule type="cellIs" dxfId="6" priority="18" operator="lessThan">
      <formula>0</formula>
    </cfRule>
    <cfRule type="cellIs" dxfId="7" priority="19" operator="greaterThan">
      <formula>0</formula>
    </cfRule>
  </conditionalFormatting>
  <conditionalFormatting sqref="J114:J121 K117:L117 L118 L120">
    <cfRule type="cellIs" dxfId="8" priority="16" operator="lessThan">
      <formula>0</formula>
    </cfRule>
    <cfRule type="cellIs" dxfId="9" priority="17" operator="greaterThan">
      <formula>0</formula>
    </cfRule>
  </conditionalFormatting>
  <conditionalFormatting sqref="J125">
    <cfRule type="cellIs" dxfId="10" priority="11" operator="lessThan">
      <formula>0</formula>
    </cfRule>
    <cfRule type="cellIs" dxfId="11" priority="12" operator="greaterThan">
      <formula>0</formula>
    </cfRule>
  </conditionalFormatting>
  <conditionalFormatting sqref="J127:J128">
    <cfRule type="cellIs" dxfId="12" priority="5" operator="lessThan">
      <formula>0</formula>
    </cfRule>
    <cfRule type="cellIs" dxfId="13" priority="6" operator="greaterThan">
      <formula>0</formula>
    </cfRule>
  </conditionalFormatting>
  <conditionalFormatting sqref="J3:L63 G143:G171">
    <cfRule type="cellIs" dxfId="14" priority="46" operator="greaterThan">
      <formula>0</formula>
    </cfRule>
  </conditionalFormatting>
  <conditionalFormatting sqref="J78:L78">
    <cfRule type="cellIs" dxfId="15" priority="36" operator="greaterThan">
      <formula>0</formula>
    </cfRule>
  </conditionalFormatting>
  <conditionalFormatting sqref="J91:L91">
    <cfRule type="cellIs" dxfId="16" priority="30" operator="greaterThan">
      <formula>0</formula>
    </cfRule>
  </conditionalFormatting>
  <conditionalFormatting sqref="J104:L104">
    <cfRule type="cellIs" dxfId="17" priority="27" operator="greaterThan">
      <formula>0</formula>
    </cfRule>
  </conditionalFormatting>
  <conditionalFormatting sqref="J122:L122">
    <cfRule type="cellIs" dxfId="18" priority="26" operator="greaterThan">
      <formula>0</formula>
    </cfRule>
  </conditionalFormatting>
  <conditionalFormatting sqref="J124:L124">
    <cfRule type="cellIs" dxfId="19" priority="13" operator="lessThan">
      <formula>0</formula>
    </cfRule>
    <cfRule type="cellIs" dxfId="20" priority="14" operator="greaterThan">
      <formula>0</formula>
    </cfRule>
  </conditionalFormatting>
  <conditionalFormatting sqref="J126:L126">
    <cfRule type="cellIs" dxfId="21" priority="9" operator="lessThan">
      <formula>0</formula>
    </cfRule>
    <cfRule type="cellIs" dxfId="22" priority="10" operator="greaterThan">
      <formula>0</formula>
    </cfRule>
  </conditionalFormatting>
  <conditionalFormatting sqref="J140:L140">
    <cfRule type="cellIs" dxfId="23" priority="15" operator="greaterThan">
      <formula>0</formula>
    </cfRule>
  </conditionalFormatting>
  <conditionalFormatting sqref="K53:K54 J53:J60 K59 J60:K62">
    <cfRule type="cellIs" dxfId="24" priority="41" operator="lessThan">
      <formula>0</formula>
    </cfRule>
  </conditionalFormatting>
  <conditionalFormatting sqref="L128">
    <cfRule type="cellIs" dxfId="25" priority="3" operator="lessThan">
      <formula>0</formula>
    </cfRule>
    <cfRule type="cellIs" dxfId="26" priority="4" operator="greaterThan">
      <formula>0</formula>
    </cfRule>
  </conditionalFormatting>
  <conditionalFormatting sqref="L130">
    <cfRule type="cellIs" dxfId="27" priority="1" operator="lessThan">
      <formula>0</formula>
    </cfRule>
    <cfRule type="cellIs" dxfId="28" priority="2" operator="greaterThan">
      <formula>0</formula>
    </cfRule>
  </conditionalFormatting>
  <conditionalFormatting sqref="M19">
    <cfRule type="cellIs" priority="45" operator="lessThan">
      <formula>0</formula>
    </cfRule>
  </conditionalFormatting>
  <conditionalFormatting sqref="O23:O32">
    <cfRule type="cellIs" dxfId="29" priority="47" operator="lessThan">
      <formula>0</formula>
    </cfRule>
    <cfRule type="cellIs" priority="48" operator="lessThan">
      <formula>0</formula>
    </cfRule>
    <cfRule type="cellIs" dxfId="30" priority="49" operator="greaterThan">
      <formula>0</formula>
    </cfRule>
  </conditionalFormatting>
  <conditionalFormatting sqref="P23:P32">
    <cfRule type="cellIs" dxfId="31" priority="33" operator="lessThan">
      <formula>0</formula>
    </cfRule>
    <cfRule type="cellIs" priority="34" operator="lessThan">
      <formula>0</formula>
    </cfRule>
    <cfRule type="cellIs" dxfId="32" priority="35" operator="greaterThan">
      <formula>0</formula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1016"/>
  <sheetViews>
    <sheetView workbookViewId="0" zoomScale="81" zoomScaleNormal="70">
      <selection activeCell="I264" sqref="I264"/>
    </sheetView>
  </sheetViews>
  <sheetFormatPr defaultRowHeight="15" outlineLevelRow="0" outlineLevelCol="0" x14ac:dyDescent="0" defaultColWidth="8.83203125"/>
  <cols>
    <col min="1" max="1" width="2.33203125" customWidth="1"/>
    <col min="2" max="2" width="9.1640625" customWidth="1"/>
    <col min="3" max="3" width="15" style="138" customWidth="1"/>
    <col min="4" max="4" width="15.5" customWidth="1"/>
    <col min="5" max="5" width="14.5" customWidth="1"/>
    <col min="6" max="6" width="13.83203125" customWidth="1"/>
    <col min="7" max="7" width="10" customWidth="1"/>
    <col min="8" max="8" width="10.33203125" customWidth="1"/>
    <col min="9" max="9" width="16.6640625" style="90" customWidth="1"/>
    <col min="10" max="10" width="21.5" style="90" customWidth="1"/>
    <col min="11" max="11" width="11.83203125" style="90" customWidth="1"/>
    <col min="12" max="12" width="12.1640625" customWidth="1"/>
    <col min="13" max="13" width="10.83203125" customWidth="1"/>
    <col min="14" max="14" width="84" customWidth="1"/>
  </cols>
  <sheetData>
    <row r="1" spans="1:14" x14ac:dyDescent="0.25">
      <c r="A1" s="139"/>
      <c r="B1" s="139"/>
      <c r="C1" s="140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</row>
    <row r="2" ht="30.75" customHeight="1" spans="1:14" x14ac:dyDescent="0.25">
      <c r="A2" s="141"/>
      <c r="B2" s="37" t="s">
        <v>0</v>
      </c>
      <c r="C2" s="142" t="s">
        <v>24</v>
      </c>
      <c r="D2" s="38" t="s">
        <v>337</v>
      </c>
      <c r="E2" s="37" t="s">
        <v>26</v>
      </c>
      <c r="F2" s="37" t="s">
        <v>338</v>
      </c>
      <c r="G2" s="37" t="s">
        <v>339</v>
      </c>
      <c r="H2" s="37" t="s">
        <v>340</v>
      </c>
      <c r="I2" s="37" t="s">
        <v>341</v>
      </c>
      <c r="J2" s="37" t="s">
        <v>342</v>
      </c>
      <c r="K2" s="37" t="s">
        <v>28</v>
      </c>
      <c r="L2" s="39" t="s">
        <v>29</v>
      </c>
      <c r="M2" s="39" t="s">
        <v>343</v>
      </c>
      <c r="N2" s="143" t="s">
        <v>344</v>
      </c>
    </row>
    <row r="3" ht="26.5" customHeight="1" spans="2:14" x14ac:dyDescent="0.25">
      <c r="B3" s="42">
        <v>45839</v>
      </c>
      <c r="C3" s="144">
        <v>45798</v>
      </c>
      <c r="D3" s="44" t="s">
        <v>60</v>
      </c>
      <c r="E3" s="44"/>
      <c r="F3" s="44"/>
      <c r="G3" s="44" t="s">
        <v>345</v>
      </c>
      <c r="H3" s="44"/>
      <c r="I3" s="95">
        <v>2360</v>
      </c>
      <c r="J3" s="45">
        <v>748.6999999999998</v>
      </c>
      <c r="K3" s="45">
        <f t="shared" ref="K3:K20" si="0">SUM(I3:J3)</f>
        <v>3108.7</v>
      </c>
      <c r="L3" s="145" t="s">
        <v>68</v>
      </c>
      <c r="M3" s="146" t="s">
        <v>68</v>
      </c>
      <c r="N3" s="147" t="s">
        <v>346</v>
      </c>
    </row>
    <row r="4" ht="26.5" customHeight="1" spans="2:14" x14ac:dyDescent="0.25">
      <c r="B4" s="148">
        <v>45839</v>
      </c>
      <c r="C4" s="149">
        <v>45804</v>
      </c>
      <c r="D4" s="150" t="s">
        <v>44</v>
      </c>
      <c r="E4" s="150" t="s">
        <v>45</v>
      </c>
      <c r="F4" s="150"/>
      <c r="G4" s="150" t="s">
        <v>345</v>
      </c>
      <c r="H4" s="150"/>
      <c r="I4" s="133">
        <v>955.36</v>
      </c>
      <c r="J4" s="52">
        <v>729.4900000000004</v>
      </c>
      <c r="K4" s="52">
        <f t="shared" si="0"/>
        <v>1684.8500000000004</v>
      </c>
      <c r="L4" s="133">
        <v>2900</v>
      </c>
      <c r="M4" s="52">
        <f>L4-SUM(I4:J4)</f>
        <v>1215.1499999999996</v>
      </c>
      <c r="N4" s="151" t="s">
        <v>29</v>
      </c>
    </row>
    <row r="5" ht="26.5" customHeight="1" spans="2:14" x14ac:dyDescent="0.25">
      <c r="B5" s="42">
        <v>45839</v>
      </c>
      <c r="C5" s="144">
        <v>45807</v>
      </c>
      <c r="D5" s="44" t="s">
        <v>161</v>
      </c>
      <c r="E5" s="44" t="s">
        <v>162</v>
      </c>
      <c r="F5" s="44"/>
      <c r="G5" s="44" t="s">
        <v>347</v>
      </c>
      <c r="H5" s="44"/>
      <c r="I5" s="95">
        <v>2000</v>
      </c>
      <c r="J5" s="45">
        <v>4597.14</v>
      </c>
      <c r="K5" s="45">
        <f t="shared" si="0"/>
        <v>6597.14</v>
      </c>
      <c r="L5" s="152" t="s">
        <v>68</v>
      </c>
      <c r="M5" s="75" t="s">
        <v>68</v>
      </c>
      <c r="N5" s="147" t="s">
        <v>348</v>
      </c>
    </row>
    <row r="6" ht="26.5" customHeight="1" spans="2:14" x14ac:dyDescent="0.25">
      <c r="B6" s="148">
        <v>45839</v>
      </c>
      <c r="C6" s="149">
        <v>45813</v>
      </c>
      <c r="D6" s="150" t="s">
        <v>46</v>
      </c>
      <c r="E6" s="150" t="s">
        <v>47</v>
      </c>
      <c r="F6" s="150"/>
      <c r="G6" s="150" t="s">
        <v>347</v>
      </c>
      <c r="H6" s="150"/>
      <c r="I6" s="133">
        <v>1250</v>
      </c>
      <c r="J6" s="52">
        <v>915.4200000000001</v>
      </c>
      <c r="K6" s="52">
        <f t="shared" si="0"/>
        <v>2165.42</v>
      </c>
      <c r="L6" s="133">
        <v>2995</v>
      </c>
      <c r="M6" s="52">
        <f>L6-SUM(I6:J6)</f>
        <v>829.5799999999999</v>
      </c>
      <c r="N6" s="151" t="s">
        <v>29</v>
      </c>
    </row>
    <row r="7" ht="26.5" customHeight="1" spans="2:14" x14ac:dyDescent="0.25">
      <c r="B7" s="148">
        <v>45839</v>
      </c>
      <c r="C7" s="149">
        <v>45815</v>
      </c>
      <c r="D7" s="150" t="s">
        <v>48</v>
      </c>
      <c r="E7" s="150" t="s">
        <v>49</v>
      </c>
      <c r="F7" s="150"/>
      <c r="G7" s="150" t="s">
        <v>347</v>
      </c>
      <c r="H7" s="150"/>
      <c r="I7" s="133">
        <v>1750</v>
      </c>
      <c r="J7" s="52">
        <v>410.7400000000002</v>
      </c>
      <c r="K7" s="52">
        <f t="shared" si="0"/>
        <v>2160.7400000000002</v>
      </c>
      <c r="L7" s="133">
        <v>3376</v>
      </c>
      <c r="M7" s="52">
        <f>L7-SUM(I7:J7)</f>
        <v>1215.2599999999998</v>
      </c>
      <c r="N7" s="151" t="s">
        <v>29</v>
      </c>
    </row>
    <row r="8" ht="26.5" customHeight="1" spans="2:14" x14ac:dyDescent="0.25">
      <c r="B8" s="42">
        <v>45839</v>
      </c>
      <c r="C8" s="144">
        <v>45836</v>
      </c>
      <c r="D8" s="44" t="s">
        <v>62</v>
      </c>
      <c r="E8" s="44" t="s">
        <v>63</v>
      </c>
      <c r="F8" s="44"/>
      <c r="G8" s="44" t="s">
        <v>347</v>
      </c>
      <c r="H8" s="44"/>
      <c r="I8" s="95">
        <v>2999</v>
      </c>
      <c r="J8" s="45">
        <v>2152.84</v>
      </c>
      <c r="K8" s="45">
        <f t="shared" si="0"/>
        <v>5151.84</v>
      </c>
      <c r="L8" s="152" t="s">
        <v>68</v>
      </c>
      <c r="M8" s="75" t="s">
        <v>68</v>
      </c>
      <c r="N8" s="153" t="s">
        <v>349</v>
      </c>
    </row>
    <row r="9" ht="26.5" customHeight="1" spans="2:14" x14ac:dyDescent="0.25">
      <c r="B9" s="148">
        <v>45839</v>
      </c>
      <c r="C9" s="149">
        <v>45843</v>
      </c>
      <c r="D9" s="150" t="s">
        <v>50</v>
      </c>
      <c r="E9" s="150" t="s">
        <v>51</v>
      </c>
      <c r="F9" s="150"/>
      <c r="G9" s="150" t="s">
        <v>350</v>
      </c>
      <c r="H9" s="150"/>
      <c r="I9" s="133">
        <v>1976.81</v>
      </c>
      <c r="J9" s="52">
        <v>16</v>
      </c>
      <c r="K9" s="52">
        <f t="shared" si="0"/>
        <v>1992.81</v>
      </c>
      <c r="L9" s="133">
        <v>2300</v>
      </c>
      <c r="M9" s="52">
        <f>L9-SUM(I9:J9)</f>
        <v>307.19000000000005</v>
      </c>
      <c r="N9" s="151" t="s">
        <v>29</v>
      </c>
    </row>
    <row r="10" ht="26.5" customHeight="1" spans="2:14" x14ac:dyDescent="0.25">
      <c r="B10" s="42">
        <v>45839</v>
      </c>
      <c r="C10" s="144">
        <v>45846</v>
      </c>
      <c r="D10" s="44" t="s">
        <v>64</v>
      </c>
      <c r="E10" s="44" t="s">
        <v>65</v>
      </c>
      <c r="F10" s="44"/>
      <c r="G10" s="44" t="s">
        <v>347</v>
      </c>
      <c r="H10" s="44"/>
      <c r="I10" s="95">
        <v>450</v>
      </c>
      <c r="J10" s="45">
        <v>538.1400000000001</v>
      </c>
      <c r="K10" s="45">
        <f t="shared" si="0"/>
        <v>988.1400000000001</v>
      </c>
      <c r="L10" s="152" t="s">
        <v>68</v>
      </c>
      <c r="M10" s="75" t="s">
        <v>68</v>
      </c>
      <c r="N10" s="153" t="s">
        <v>349</v>
      </c>
    </row>
    <row r="11" ht="26.5" customHeight="1" spans="2:14" x14ac:dyDescent="0.25">
      <c r="B11" s="148">
        <v>45839</v>
      </c>
      <c r="C11" s="149">
        <v>45846</v>
      </c>
      <c r="D11" s="150" t="s">
        <v>52</v>
      </c>
      <c r="E11" s="150" t="s">
        <v>53</v>
      </c>
      <c r="F11" s="150"/>
      <c r="G11" s="150" t="s">
        <v>351</v>
      </c>
      <c r="H11" s="150"/>
      <c r="I11" s="133">
        <v>2700</v>
      </c>
      <c r="J11" s="52">
        <v>36.31999999999971</v>
      </c>
      <c r="K11" s="52">
        <f t="shared" si="0"/>
        <v>2736.3199999999997</v>
      </c>
      <c r="L11" s="133">
        <v>2900</v>
      </c>
      <c r="M11" s="52">
        <f>L11-SUM(I11:J11)</f>
        <v>163.6800000000003</v>
      </c>
      <c r="N11" s="151" t="s">
        <v>29</v>
      </c>
    </row>
    <row r="12" ht="26.5" customHeight="1" spans="2:14" x14ac:dyDescent="0.25">
      <c r="B12" s="148">
        <v>45839</v>
      </c>
      <c r="C12" s="149">
        <v>45847</v>
      </c>
      <c r="D12" s="150" t="s">
        <v>54</v>
      </c>
      <c r="E12" s="150" t="s">
        <v>55</v>
      </c>
      <c r="F12" s="150"/>
      <c r="G12" s="150" t="s">
        <v>347</v>
      </c>
      <c r="H12" s="150"/>
      <c r="I12" s="133">
        <v>500</v>
      </c>
      <c r="J12" s="52">
        <v>134.46</v>
      </c>
      <c r="K12" s="52">
        <f t="shared" si="0"/>
        <v>634.46</v>
      </c>
      <c r="L12" s="133">
        <v>1775</v>
      </c>
      <c r="M12" s="52">
        <f>L12-SUM(I12:J12)</f>
        <v>1140.54</v>
      </c>
      <c r="N12" s="151" t="s">
        <v>29</v>
      </c>
    </row>
    <row r="13" ht="28.5" customHeight="1" spans="2:14" x14ac:dyDescent="0.25">
      <c r="B13" s="42">
        <v>45839</v>
      </c>
      <c r="C13" s="144">
        <v>45855</v>
      </c>
      <c r="D13" s="44" t="s">
        <v>66</v>
      </c>
      <c r="E13" s="44" t="s">
        <v>67</v>
      </c>
      <c r="F13" s="44"/>
      <c r="G13" s="44" t="s">
        <v>347</v>
      </c>
      <c r="H13" s="44"/>
      <c r="I13" s="95">
        <v>750</v>
      </c>
      <c r="J13" s="45">
        <v>695.2200000000003</v>
      </c>
      <c r="K13" s="45">
        <f t="shared" si="0"/>
        <v>1445.2200000000003</v>
      </c>
      <c r="L13" s="152" t="s">
        <v>68</v>
      </c>
      <c r="M13" s="75" t="s">
        <v>68</v>
      </c>
      <c r="N13" s="147" t="s">
        <v>352</v>
      </c>
    </row>
    <row r="14" ht="26.5" customHeight="1" spans="2:14" x14ac:dyDescent="0.25">
      <c r="B14" s="148">
        <v>45839</v>
      </c>
      <c r="C14" s="149">
        <v>45855</v>
      </c>
      <c r="D14" s="150" t="s">
        <v>56</v>
      </c>
      <c r="E14" s="150" t="s">
        <v>57</v>
      </c>
      <c r="F14" s="150"/>
      <c r="G14" s="150" t="s">
        <v>345</v>
      </c>
      <c r="H14" s="150"/>
      <c r="I14" s="133">
        <v>6030.41</v>
      </c>
      <c r="J14" s="52">
        <v>75</v>
      </c>
      <c r="K14" s="52">
        <f t="shared" si="0"/>
        <v>6105.41</v>
      </c>
      <c r="L14" s="133">
        <v>6400</v>
      </c>
      <c r="M14" s="52">
        <f>L14-SUM(I14:J14)</f>
        <v>294.59000000000015</v>
      </c>
      <c r="N14" s="151" t="s">
        <v>29</v>
      </c>
    </row>
    <row r="15" ht="26.5" customHeight="1" spans="2:14" x14ac:dyDescent="0.25">
      <c r="B15" s="148">
        <v>45839</v>
      </c>
      <c r="C15" s="149">
        <v>45858</v>
      </c>
      <c r="D15" s="150" t="s">
        <v>58</v>
      </c>
      <c r="E15" s="150" t="s">
        <v>59</v>
      </c>
      <c r="F15" s="150"/>
      <c r="G15" s="150" t="s">
        <v>347</v>
      </c>
      <c r="H15" s="150"/>
      <c r="I15" s="133">
        <v>2200</v>
      </c>
      <c r="J15" s="52">
        <v>14.2</v>
      </c>
      <c r="K15" s="52">
        <f t="shared" si="0"/>
        <v>2214.2</v>
      </c>
      <c r="L15" s="133">
        <v>2900</v>
      </c>
      <c r="M15" s="52">
        <f>L15-SUM(I15:J15)</f>
        <v>685.8000000000002</v>
      </c>
      <c r="N15" s="151" t="s">
        <v>29</v>
      </c>
    </row>
    <row r="16" ht="30" customHeight="1" spans="2:14" x14ac:dyDescent="0.25">
      <c r="B16" s="42">
        <v>45839</v>
      </c>
      <c r="C16" s="144">
        <v>45859</v>
      </c>
      <c r="D16" s="44" t="s">
        <v>120</v>
      </c>
      <c r="E16" s="44" t="s">
        <v>65</v>
      </c>
      <c r="F16" s="44"/>
      <c r="G16" s="44" t="s">
        <v>347</v>
      </c>
      <c r="H16" s="44"/>
      <c r="I16" s="95">
        <v>1200</v>
      </c>
      <c r="J16" s="45">
        <v>2451.52</v>
      </c>
      <c r="K16" s="45">
        <f t="shared" si="0"/>
        <v>3651.52</v>
      </c>
      <c r="L16" s="152" t="s">
        <v>68</v>
      </c>
      <c r="M16" s="75" t="s">
        <v>68</v>
      </c>
      <c r="N16" s="147" t="s">
        <v>353</v>
      </c>
    </row>
    <row r="17" ht="26.5" customHeight="1" spans="2:14" x14ac:dyDescent="0.25">
      <c r="B17" s="42">
        <v>45839</v>
      </c>
      <c r="C17" s="144">
        <v>45860</v>
      </c>
      <c r="D17" s="44" t="s">
        <v>104</v>
      </c>
      <c r="E17" s="44" t="s">
        <v>105</v>
      </c>
      <c r="F17" s="44"/>
      <c r="G17" s="44" t="s">
        <v>347</v>
      </c>
      <c r="H17" s="44"/>
      <c r="I17" s="95">
        <v>4387.08</v>
      </c>
      <c r="J17" s="45">
        <v>1648.789999999998</v>
      </c>
      <c r="K17" s="45">
        <f t="shared" si="0"/>
        <v>6035.869999999998</v>
      </c>
      <c r="L17" s="152" t="s">
        <v>68</v>
      </c>
      <c r="M17" s="75" t="s">
        <v>68</v>
      </c>
      <c r="N17" s="147" t="s">
        <v>354</v>
      </c>
    </row>
    <row r="18" ht="25" customHeight="1" spans="2:14" x14ac:dyDescent="0.25">
      <c r="B18" s="42">
        <v>45839</v>
      </c>
      <c r="C18" s="144">
        <v>45861</v>
      </c>
      <c r="D18" s="44" t="s">
        <v>73</v>
      </c>
      <c r="E18" s="44" t="s">
        <v>74</v>
      </c>
      <c r="F18" s="44"/>
      <c r="G18" s="44" t="s">
        <v>347</v>
      </c>
      <c r="H18" s="44"/>
      <c r="I18" s="95">
        <v>500</v>
      </c>
      <c r="J18" s="45">
        <v>1481.44</v>
      </c>
      <c r="K18" s="45">
        <f t="shared" si="0"/>
        <v>1981.44</v>
      </c>
      <c r="L18" s="145" t="s">
        <v>68</v>
      </c>
      <c r="M18" s="146" t="s">
        <v>68</v>
      </c>
      <c r="N18" s="147" t="s">
        <v>353</v>
      </c>
    </row>
    <row r="19" ht="26.5" customHeight="1" spans="2:14" x14ac:dyDescent="0.25">
      <c r="B19" s="42">
        <v>45839</v>
      </c>
      <c r="C19" s="144">
        <v>45862</v>
      </c>
      <c r="D19" s="44" t="s">
        <v>69</v>
      </c>
      <c r="E19" s="44" t="s">
        <v>70</v>
      </c>
      <c r="F19" s="44"/>
      <c r="G19" s="44" t="s">
        <v>347</v>
      </c>
      <c r="H19" s="44"/>
      <c r="I19" s="95">
        <v>1200</v>
      </c>
      <c r="J19" s="45">
        <v>159.7000000000003</v>
      </c>
      <c r="K19" s="45">
        <f t="shared" si="0"/>
        <v>1359.7000000000003</v>
      </c>
      <c r="L19" s="145" t="s">
        <v>68</v>
      </c>
      <c r="M19" s="146" t="s">
        <v>68</v>
      </c>
      <c r="N19" s="153" t="s">
        <v>349</v>
      </c>
    </row>
    <row r="20" ht="16" customHeight="1" spans="2:14" x14ac:dyDescent="0.25">
      <c r="B20" s="42">
        <v>45839</v>
      </c>
      <c r="C20" s="144">
        <v>45864</v>
      </c>
      <c r="D20" s="44" t="s">
        <v>71</v>
      </c>
      <c r="E20" s="44" t="s">
        <v>355</v>
      </c>
      <c r="F20" s="44"/>
      <c r="G20" s="44" t="s">
        <v>347</v>
      </c>
      <c r="H20" s="44"/>
      <c r="I20" s="95">
        <v>800</v>
      </c>
      <c r="J20" s="45">
        <v>2290.369999999999</v>
      </c>
      <c r="K20" s="45">
        <f t="shared" si="0"/>
        <v>3090.369999999999</v>
      </c>
      <c r="L20" s="145" t="s">
        <v>68</v>
      </c>
      <c r="M20" s="146" t="s">
        <v>68</v>
      </c>
      <c r="N20" s="147" t="s">
        <v>356</v>
      </c>
    </row>
    <row r="21" ht="24" customHeight="1" spans="2:14" x14ac:dyDescent="0.25">
      <c r="B21" s="53">
        <v>45839</v>
      </c>
      <c r="C21" s="154"/>
      <c r="D21" s="55"/>
      <c r="E21" s="55"/>
      <c r="F21" s="55"/>
      <c r="G21" s="55"/>
      <c r="H21" s="55"/>
      <c r="I21" s="155"/>
      <c r="J21" s="56"/>
      <c r="K21" s="56"/>
      <c r="L21" s="156"/>
      <c r="M21" s="57"/>
      <c r="N21" s="157"/>
    </row>
    <row r="22" ht="25" customHeight="1" spans="2:14" x14ac:dyDescent="0.25">
      <c r="B22" s="148">
        <v>45870</v>
      </c>
      <c r="C22" s="149">
        <v>45798</v>
      </c>
      <c r="D22" s="150" t="s">
        <v>60</v>
      </c>
      <c r="E22" s="158" t="s">
        <v>61</v>
      </c>
      <c r="F22" s="158"/>
      <c r="G22" s="158" t="s">
        <v>345</v>
      </c>
      <c r="H22" s="158"/>
      <c r="I22" s="133">
        <v>2360</v>
      </c>
      <c r="J22" s="52">
        <v>748.6999999999998</v>
      </c>
      <c r="K22" s="52">
        <f t="shared" ref="K22:K35" si="1">SUM(I22:J22)</f>
        <v>3108.7</v>
      </c>
      <c r="L22" s="133">
        <v>1450</v>
      </c>
      <c r="M22" s="52">
        <f>L22-SUM(I22:J22)</f>
        <v>-1658.6999999999998</v>
      </c>
      <c r="N22" s="151" t="s">
        <v>29</v>
      </c>
    </row>
    <row r="23" ht="25" customHeight="1" spans="2:14" x14ac:dyDescent="0.25">
      <c r="B23" s="42">
        <v>45870</v>
      </c>
      <c r="C23" s="159">
        <v>45807</v>
      </c>
      <c r="D23" s="62" t="s">
        <v>161</v>
      </c>
      <c r="E23" s="63" t="s">
        <v>162</v>
      </c>
      <c r="F23" s="63"/>
      <c r="G23" s="63" t="s">
        <v>347</v>
      </c>
      <c r="H23" s="63"/>
      <c r="I23" s="160">
        <v>2000</v>
      </c>
      <c r="J23" s="64">
        <v>890.5</v>
      </c>
      <c r="K23" s="64">
        <f t="shared" si="1"/>
        <v>2890.5</v>
      </c>
      <c r="L23" s="161" t="s">
        <v>68</v>
      </c>
      <c r="M23" s="162" t="s">
        <v>68</v>
      </c>
      <c r="N23" s="147" t="s">
        <v>357</v>
      </c>
    </row>
    <row r="24" ht="25" customHeight="1" spans="2:14" x14ac:dyDescent="0.25">
      <c r="B24" s="148">
        <v>45870</v>
      </c>
      <c r="C24" s="149">
        <v>45836</v>
      </c>
      <c r="D24" s="150" t="s">
        <v>62</v>
      </c>
      <c r="E24" s="158" t="s">
        <v>63</v>
      </c>
      <c r="F24" s="158"/>
      <c r="G24" s="158" t="s">
        <v>347</v>
      </c>
      <c r="H24" s="158"/>
      <c r="I24" s="133">
        <v>2999</v>
      </c>
      <c r="J24" s="52">
        <v>2152.84</v>
      </c>
      <c r="K24" s="52">
        <f t="shared" si="1"/>
        <v>5151.84</v>
      </c>
      <c r="L24" s="133">
        <v>5400</v>
      </c>
      <c r="M24" s="52">
        <f>L24-SUM(I24:J24)</f>
        <v>248.15999999999985</v>
      </c>
      <c r="N24" s="151" t="s">
        <v>29</v>
      </c>
    </row>
    <row r="25" ht="25" customHeight="1" spans="2:14" x14ac:dyDescent="0.25">
      <c r="B25" s="148">
        <v>45870</v>
      </c>
      <c r="C25" s="149">
        <v>45846</v>
      </c>
      <c r="D25" s="150" t="s">
        <v>64</v>
      </c>
      <c r="E25" s="158" t="s">
        <v>65</v>
      </c>
      <c r="F25" s="158"/>
      <c r="G25" s="158" t="s">
        <v>347</v>
      </c>
      <c r="H25" s="158"/>
      <c r="I25" s="133">
        <v>450</v>
      </c>
      <c r="J25" s="52">
        <v>548.1500000000001</v>
      </c>
      <c r="K25" s="52">
        <f t="shared" si="1"/>
        <v>998.1500000000001</v>
      </c>
      <c r="L25" s="133">
        <v>1295</v>
      </c>
      <c r="M25" s="52">
        <f>L25-SUM(I25:J25)</f>
        <v>296.8499999999999</v>
      </c>
      <c r="N25" s="151" t="s">
        <v>29</v>
      </c>
    </row>
    <row r="26" ht="25" customHeight="1" spans="2:14" x14ac:dyDescent="0.25">
      <c r="B26" s="148">
        <v>45870</v>
      </c>
      <c r="C26" s="149">
        <v>45855</v>
      </c>
      <c r="D26" s="150" t="s">
        <v>66</v>
      </c>
      <c r="E26" s="158" t="s">
        <v>67</v>
      </c>
      <c r="F26" s="158"/>
      <c r="G26" s="158" t="s">
        <v>347</v>
      </c>
      <c r="H26" s="158"/>
      <c r="I26" s="133">
        <v>750</v>
      </c>
      <c r="J26" s="52">
        <v>672.0400000000002</v>
      </c>
      <c r="K26" s="52">
        <f t="shared" si="1"/>
        <v>1422.0400000000002</v>
      </c>
      <c r="L26" s="133">
        <v>1900</v>
      </c>
      <c r="M26" s="52">
        <f>L26-SUM(I26:J26)</f>
        <v>477.9599999999998</v>
      </c>
      <c r="N26" s="151" t="s">
        <v>29</v>
      </c>
    </row>
    <row r="27" ht="25" customHeight="1" spans="2:14" x14ac:dyDescent="0.25">
      <c r="B27" s="42">
        <v>45870</v>
      </c>
      <c r="C27" s="159">
        <v>45859</v>
      </c>
      <c r="D27" s="62" t="s">
        <v>120</v>
      </c>
      <c r="E27" s="63" t="s">
        <v>65</v>
      </c>
      <c r="F27" s="63"/>
      <c r="G27" s="63" t="s">
        <v>347</v>
      </c>
      <c r="H27" s="63"/>
      <c r="I27" s="160">
        <v>1200</v>
      </c>
      <c r="J27" s="64">
        <v>1867.959999999999</v>
      </c>
      <c r="K27" s="64">
        <f t="shared" si="1"/>
        <v>3067.959999999999</v>
      </c>
      <c r="L27" s="161" t="s">
        <v>68</v>
      </c>
      <c r="M27" s="162" t="s">
        <v>68</v>
      </c>
      <c r="N27" s="147" t="s">
        <v>358</v>
      </c>
    </row>
    <row r="28" ht="25" customHeight="1" spans="2:14" x14ac:dyDescent="0.25">
      <c r="B28" s="42">
        <v>45870</v>
      </c>
      <c r="C28" s="159">
        <v>45860</v>
      </c>
      <c r="D28" s="62" t="s">
        <v>104</v>
      </c>
      <c r="E28" s="63" t="s">
        <v>105</v>
      </c>
      <c r="F28" s="63"/>
      <c r="G28" s="63" t="s">
        <v>347</v>
      </c>
      <c r="H28" s="63"/>
      <c r="I28" s="160">
        <v>4387.08</v>
      </c>
      <c r="J28" s="64">
        <v>1527.849999999999</v>
      </c>
      <c r="K28" s="64">
        <f t="shared" si="1"/>
        <v>5914.9299999999985</v>
      </c>
      <c r="L28" s="161" t="s">
        <v>68</v>
      </c>
      <c r="M28" s="162" t="s">
        <v>68</v>
      </c>
      <c r="N28" s="153" t="s">
        <v>349</v>
      </c>
    </row>
    <row r="29" ht="28" customHeight="1" spans="2:14" x14ac:dyDescent="0.25">
      <c r="B29" s="42">
        <v>45870</v>
      </c>
      <c r="C29" s="159">
        <v>45861</v>
      </c>
      <c r="D29" s="62" t="s">
        <v>73</v>
      </c>
      <c r="E29" s="63" t="s">
        <v>74</v>
      </c>
      <c r="F29" s="63"/>
      <c r="G29" s="63" t="s">
        <v>347</v>
      </c>
      <c r="H29" s="63"/>
      <c r="I29" s="160">
        <v>500</v>
      </c>
      <c r="J29" s="64">
        <v>1251.87</v>
      </c>
      <c r="K29" s="64">
        <f t="shared" si="1"/>
        <v>1751.87</v>
      </c>
      <c r="L29" s="161" t="s">
        <v>68</v>
      </c>
      <c r="M29" s="162" t="s">
        <v>68</v>
      </c>
      <c r="N29" s="153" t="s">
        <v>349</v>
      </c>
    </row>
    <row r="30" ht="25" customHeight="1" spans="2:14" x14ac:dyDescent="0.25">
      <c r="B30" s="148">
        <v>45870</v>
      </c>
      <c r="C30" s="149">
        <v>45862</v>
      </c>
      <c r="D30" s="150" t="s">
        <v>69</v>
      </c>
      <c r="E30" s="158" t="s">
        <v>70</v>
      </c>
      <c r="F30" s="158"/>
      <c r="G30" s="158" t="s">
        <v>347</v>
      </c>
      <c r="H30" s="158"/>
      <c r="I30" s="133">
        <v>1200</v>
      </c>
      <c r="J30" s="52">
        <v>159.7000000000003</v>
      </c>
      <c r="K30" s="52">
        <f t="shared" si="1"/>
        <v>1359.7000000000003</v>
      </c>
      <c r="L30" s="133">
        <v>2200</v>
      </c>
      <c r="M30" s="52">
        <f>L30-SUM(I30:J30)</f>
        <v>840.2999999999997</v>
      </c>
      <c r="N30" s="151" t="s">
        <v>29</v>
      </c>
    </row>
    <row r="31" ht="25" customHeight="1" spans="2:14" x14ac:dyDescent="0.25">
      <c r="B31" s="148">
        <v>45870</v>
      </c>
      <c r="C31" s="149">
        <v>45864</v>
      </c>
      <c r="D31" s="150" t="s">
        <v>71</v>
      </c>
      <c r="E31" s="158" t="s">
        <v>72</v>
      </c>
      <c r="F31" s="158"/>
      <c r="G31" s="158" t="s">
        <v>347</v>
      </c>
      <c r="H31" s="158"/>
      <c r="I31" s="133">
        <v>800</v>
      </c>
      <c r="J31" s="52">
        <v>2290.369999999999</v>
      </c>
      <c r="K31" s="52">
        <f t="shared" si="1"/>
        <v>3090.369999999999</v>
      </c>
      <c r="L31" s="133">
        <v>3350</v>
      </c>
      <c r="M31" s="52">
        <f>L31-SUM(I31:J31)</f>
        <v>259.630000000001</v>
      </c>
      <c r="N31" s="151" t="s">
        <v>29</v>
      </c>
    </row>
    <row r="32" ht="25" customHeight="1" spans="2:14" x14ac:dyDescent="0.25">
      <c r="B32" s="42">
        <v>45870</v>
      </c>
      <c r="C32" s="159">
        <v>45873</v>
      </c>
      <c r="D32" s="62" t="s">
        <v>139</v>
      </c>
      <c r="E32" s="63" t="s">
        <v>70</v>
      </c>
      <c r="F32" s="63"/>
      <c r="G32" s="63" t="s">
        <v>347</v>
      </c>
      <c r="H32" s="63"/>
      <c r="I32" s="160">
        <v>2250</v>
      </c>
      <c r="J32" s="64">
        <v>1157.119999999999</v>
      </c>
      <c r="K32" s="64">
        <f t="shared" si="1"/>
        <v>3407.119999999999</v>
      </c>
      <c r="L32" s="161" t="s">
        <v>68</v>
      </c>
      <c r="M32" s="162" t="s">
        <v>68</v>
      </c>
      <c r="N32" s="153" t="s">
        <v>349</v>
      </c>
    </row>
    <row r="33" ht="25" customHeight="1" spans="2:14" x14ac:dyDescent="0.25">
      <c r="B33" s="42">
        <v>45870</v>
      </c>
      <c r="C33" s="159">
        <v>45895</v>
      </c>
      <c r="D33" s="62" t="s">
        <v>75</v>
      </c>
      <c r="E33" s="63" t="s">
        <v>76</v>
      </c>
      <c r="F33" s="63"/>
      <c r="G33" s="63" t="s">
        <v>359</v>
      </c>
      <c r="H33" s="63"/>
      <c r="I33" s="160">
        <v>4900</v>
      </c>
      <c r="J33" s="64"/>
      <c r="K33" s="64">
        <f t="shared" si="1"/>
        <v>4900</v>
      </c>
      <c r="L33" s="161" t="s">
        <v>68</v>
      </c>
      <c r="M33" s="162" t="s">
        <v>68</v>
      </c>
      <c r="N33" s="163"/>
    </row>
    <row r="34" ht="25" customHeight="1" spans="2:14" x14ac:dyDescent="0.25">
      <c r="B34" s="42">
        <v>45870</v>
      </c>
      <c r="C34" s="159">
        <v>45896</v>
      </c>
      <c r="D34" s="62" t="s">
        <v>77</v>
      </c>
      <c r="E34" s="63" t="s">
        <v>78</v>
      </c>
      <c r="F34" s="63"/>
      <c r="G34" s="63" t="s">
        <v>359</v>
      </c>
      <c r="H34" s="63"/>
      <c r="I34" s="160">
        <v>3769</v>
      </c>
      <c r="J34" s="64"/>
      <c r="K34" s="64">
        <f t="shared" si="1"/>
        <v>3769</v>
      </c>
      <c r="L34" s="161" t="s">
        <v>68</v>
      </c>
      <c r="M34" s="162" t="s">
        <v>68</v>
      </c>
      <c r="N34" s="163"/>
    </row>
    <row r="35" ht="25" customHeight="1" spans="2:14" x14ac:dyDescent="0.25">
      <c r="B35" s="42">
        <v>45870</v>
      </c>
      <c r="C35" s="159">
        <v>45900</v>
      </c>
      <c r="D35" s="62" t="s">
        <v>360</v>
      </c>
      <c r="E35" s="63" t="s">
        <v>361</v>
      </c>
      <c r="F35" s="63"/>
      <c r="G35" s="63" t="s">
        <v>30</v>
      </c>
      <c r="H35" s="63"/>
      <c r="I35" s="164"/>
      <c r="J35" s="165"/>
      <c r="K35" s="64">
        <f t="shared" si="1"/>
        <v>0</v>
      </c>
      <c r="L35" s="164"/>
      <c r="M35" s="64">
        <f>L35-SUM(I35:J35)</f>
        <v>0</v>
      </c>
      <c r="N35" s="163"/>
    </row>
    <row r="36" ht="25" customHeight="1" spans="2:14" x14ac:dyDescent="0.25">
      <c r="B36" s="53">
        <v>45870</v>
      </c>
      <c r="C36" s="166"/>
      <c r="D36" s="71"/>
      <c r="E36" s="72"/>
      <c r="F36" s="72"/>
      <c r="G36" s="72"/>
      <c r="H36" s="72"/>
      <c r="I36" s="111"/>
      <c r="J36" s="81"/>
      <c r="K36" s="58"/>
      <c r="L36" s="111"/>
      <c r="M36" s="58"/>
      <c r="N36" s="167"/>
    </row>
    <row r="37" ht="21" customHeight="1" spans="2:14" x14ac:dyDescent="0.25">
      <c r="B37" s="76">
        <v>45901</v>
      </c>
      <c r="C37" s="144">
        <v>45807</v>
      </c>
      <c r="D37" s="44" t="s">
        <v>161</v>
      </c>
      <c r="E37" s="77" t="s">
        <v>162</v>
      </c>
      <c r="F37" s="77"/>
      <c r="G37" s="77" t="s">
        <v>347</v>
      </c>
      <c r="H37" s="77"/>
      <c r="I37" s="95">
        <v>2000</v>
      </c>
      <c r="J37" s="45">
        <v>4597.14</v>
      </c>
      <c r="K37" s="64">
        <f t="shared" ref="K37:K58" si="2">SUM(I37:J37)</f>
        <v>6597.14</v>
      </c>
      <c r="L37" s="152"/>
      <c r="M37" s="75"/>
      <c r="N37" s="168" t="s">
        <v>357</v>
      </c>
    </row>
    <row r="38" ht="21" customHeight="1" spans="2:14" x14ac:dyDescent="0.25">
      <c r="B38" s="76">
        <v>45901</v>
      </c>
      <c r="C38" s="144">
        <v>45859</v>
      </c>
      <c r="D38" s="44" t="s">
        <v>120</v>
      </c>
      <c r="E38" s="77" t="s">
        <v>65</v>
      </c>
      <c r="F38" s="77"/>
      <c r="G38" s="77" t="s">
        <v>347</v>
      </c>
      <c r="H38" s="95"/>
      <c r="I38" s="95">
        <v>1200</v>
      </c>
      <c r="J38" s="45">
        <v>2451.52</v>
      </c>
      <c r="K38" s="64">
        <f t="shared" si="2"/>
        <v>3651.52</v>
      </c>
      <c r="L38" s="152"/>
      <c r="M38" s="75"/>
      <c r="N38" s="168" t="s">
        <v>362</v>
      </c>
    </row>
    <row r="39" ht="21" customHeight="1" spans="2:14" x14ac:dyDescent="0.25">
      <c r="B39" s="169">
        <v>45901</v>
      </c>
      <c r="C39" s="149">
        <v>45855</v>
      </c>
      <c r="D39" s="150" t="s">
        <v>66</v>
      </c>
      <c r="E39" s="158" t="s">
        <v>67</v>
      </c>
      <c r="F39" s="158"/>
      <c r="G39" s="158" t="s">
        <v>347</v>
      </c>
      <c r="H39" s="133"/>
      <c r="I39" s="133">
        <v>750</v>
      </c>
      <c r="J39" s="52">
        <v>695.2200000000003</v>
      </c>
      <c r="K39" s="52">
        <f t="shared" si="2"/>
        <v>1445.2200000000003</v>
      </c>
      <c r="L39" s="133">
        <v>1900</v>
      </c>
      <c r="M39" s="52">
        <f>L39-SUM(I39:J39)</f>
        <v>454.77999999999975</v>
      </c>
      <c r="N39" s="151" t="s">
        <v>29</v>
      </c>
    </row>
    <row r="40" ht="21" customHeight="1" spans="2:14" x14ac:dyDescent="0.25">
      <c r="B40" s="76">
        <v>45901</v>
      </c>
      <c r="C40" s="144">
        <v>45860</v>
      </c>
      <c r="D40" s="44" t="s">
        <v>104</v>
      </c>
      <c r="E40" s="77" t="s">
        <v>105</v>
      </c>
      <c r="F40" s="77"/>
      <c r="G40" s="77" t="s">
        <v>347</v>
      </c>
      <c r="H40" s="95"/>
      <c r="I40" s="95">
        <v>4387.08</v>
      </c>
      <c r="J40" s="45">
        <v>1648.789999999998</v>
      </c>
      <c r="K40" s="64">
        <f t="shared" si="2"/>
        <v>6035.869999999998</v>
      </c>
      <c r="L40" s="95"/>
      <c r="M40" s="45"/>
      <c r="N40" s="153" t="s">
        <v>349</v>
      </c>
    </row>
    <row r="41" ht="21" customHeight="1" spans="2:14" x14ac:dyDescent="0.25">
      <c r="B41" s="169">
        <v>45901</v>
      </c>
      <c r="C41" s="149">
        <v>45861</v>
      </c>
      <c r="D41" s="150" t="s">
        <v>73</v>
      </c>
      <c r="E41" s="158" t="s">
        <v>74</v>
      </c>
      <c r="F41" s="158"/>
      <c r="G41" s="158" t="s">
        <v>347</v>
      </c>
      <c r="H41" s="133"/>
      <c r="I41" s="133">
        <v>500</v>
      </c>
      <c r="J41" s="52">
        <v>1481.44</v>
      </c>
      <c r="K41" s="52">
        <f t="shared" si="2"/>
        <v>1981.44</v>
      </c>
      <c r="L41" s="133">
        <v>2195</v>
      </c>
      <c r="M41" s="52">
        <f>L41-SUM(I41:J41)</f>
        <v>213.55999999999995</v>
      </c>
      <c r="N41" s="151" t="s">
        <v>29</v>
      </c>
    </row>
    <row r="42" ht="21" customHeight="1" spans="2:14" x14ac:dyDescent="0.25">
      <c r="B42" s="169">
        <v>45901</v>
      </c>
      <c r="C42" s="149">
        <v>45864</v>
      </c>
      <c r="D42" s="150" t="s">
        <v>71</v>
      </c>
      <c r="E42" s="158" t="s">
        <v>72</v>
      </c>
      <c r="F42" s="158"/>
      <c r="G42" s="158" t="s">
        <v>347</v>
      </c>
      <c r="H42" s="133"/>
      <c r="I42" s="133">
        <v>800</v>
      </c>
      <c r="J42" s="52">
        <v>2290.369999999999</v>
      </c>
      <c r="K42" s="52">
        <f t="shared" si="2"/>
        <v>3090.369999999999</v>
      </c>
      <c r="L42" s="133">
        <v>3350</v>
      </c>
      <c r="M42" s="52">
        <f>L42-SUM(I42:J42)</f>
        <v>259.630000000001</v>
      </c>
      <c r="N42" s="151" t="s">
        <v>29</v>
      </c>
    </row>
    <row r="43" ht="21" customHeight="1" spans="2:14" x14ac:dyDescent="0.25">
      <c r="B43" s="76">
        <v>45901</v>
      </c>
      <c r="C43" s="144">
        <v>45873</v>
      </c>
      <c r="D43" s="44" t="s">
        <v>139</v>
      </c>
      <c r="E43" s="77" t="s">
        <v>70</v>
      </c>
      <c r="F43" s="77"/>
      <c r="G43" s="77" t="s">
        <v>347</v>
      </c>
      <c r="H43" s="95"/>
      <c r="I43" s="95">
        <v>2250</v>
      </c>
      <c r="J43" s="45">
        <v>1172.079999999999</v>
      </c>
      <c r="K43" s="64">
        <f t="shared" si="2"/>
        <v>3422.079999999999</v>
      </c>
      <c r="L43" s="95"/>
      <c r="M43" s="45"/>
      <c r="N43" s="153" t="s">
        <v>349</v>
      </c>
    </row>
    <row r="44" ht="21" customHeight="1" spans="2:14" x14ac:dyDescent="0.25">
      <c r="B44" s="169">
        <v>45901</v>
      </c>
      <c r="C44" s="149">
        <v>45895</v>
      </c>
      <c r="D44" s="150" t="s">
        <v>75</v>
      </c>
      <c r="E44" s="158" t="s">
        <v>76</v>
      </c>
      <c r="F44" s="158"/>
      <c r="G44" s="158" t="s">
        <v>359</v>
      </c>
      <c r="H44" s="133"/>
      <c r="I44" s="133">
        <v>4900</v>
      </c>
      <c r="J44" s="52">
        <v>1268.429999999999</v>
      </c>
      <c r="K44" s="52">
        <f t="shared" si="2"/>
        <v>6168.4299999999985</v>
      </c>
      <c r="L44" s="133">
        <v>7295</v>
      </c>
      <c r="M44" s="52">
        <f t="shared" ref="M44:M49" si="3">L44-SUM(I44:J44)</f>
        <v>1126.5700000000015</v>
      </c>
      <c r="N44" s="151" t="s">
        <v>29</v>
      </c>
    </row>
    <row r="45" ht="21" customHeight="1" spans="2:14" x14ac:dyDescent="0.25">
      <c r="B45" s="169">
        <v>45901</v>
      </c>
      <c r="C45" s="149">
        <v>45896</v>
      </c>
      <c r="D45" s="150" t="s">
        <v>77</v>
      </c>
      <c r="E45" s="158" t="s">
        <v>78</v>
      </c>
      <c r="F45" s="158"/>
      <c r="G45" s="158" t="s">
        <v>359</v>
      </c>
      <c r="H45" s="133"/>
      <c r="I45" s="133">
        <v>3769</v>
      </c>
      <c r="J45" s="52">
        <v>217.54</v>
      </c>
      <c r="K45" s="52">
        <f t="shared" si="2"/>
        <v>3986.54</v>
      </c>
      <c r="L45" s="133">
        <v>5895</v>
      </c>
      <c r="M45" s="52">
        <f t="shared" si="3"/>
        <v>1908.46</v>
      </c>
      <c r="N45" s="151" t="s">
        <v>29</v>
      </c>
    </row>
    <row r="46" ht="21" customHeight="1" spans="2:14" x14ac:dyDescent="0.25">
      <c r="B46" s="169">
        <v>45901</v>
      </c>
      <c r="C46" s="149">
        <v>45862</v>
      </c>
      <c r="D46" s="150" t="s">
        <v>69</v>
      </c>
      <c r="E46" s="158" t="s">
        <v>70</v>
      </c>
      <c r="F46" s="158"/>
      <c r="G46" s="158" t="s">
        <v>347</v>
      </c>
      <c r="H46" s="133"/>
      <c r="I46" s="133">
        <v>1200</v>
      </c>
      <c r="J46" s="52">
        <v>159.7000000000003</v>
      </c>
      <c r="K46" s="52">
        <f t="shared" si="2"/>
        <v>1359.7000000000003</v>
      </c>
      <c r="L46" s="133">
        <v>2217</v>
      </c>
      <c r="M46" s="52">
        <f t="shared" si="3"/>
        <v>857.2999999999997</v>
      </c>
      <c r="N46" s="151" t="s">
        <v>29</v>
      </c>
    </row>
    <row r="47" ht="21" customHeight="1" spans="2:14" x14ac:dyDescent="0.25">
      <c r="B47" s="76">
        <v>45901</v>
      </c>
      <c r="C47" s="144">
        <v>45900</v>
      </c>
      <c r="D47" s="44" t="s">
        <v>360</v>
      </c>
      <c r="E47" s="77" t="s">
        <v>361</v>
      </c>
      <c r="F47" s="77"/>
      <c r="G47" s="77" t="s">
        <v>30</v>
      </c>
      <c r="H47" s="95"/>
      <c r="I47" s="95"/>
      <c r="J47" s="45">
        <v>6.539999999999964</v>
      </c>
      <c r="K47" s="64">
        <f t="shared" si="2"/>
        <v>6.539999999999964</v>
      </c>
      <c r="L47" s="95">
        <v>350</v>
      </c>
      <c r="M47" s="64">
        <f t="shared" si="3"/>
        <v>343.46000000000004</v>
      </c>
      <c r="N47" s="147" t="s">
        <v>363</v>
      </c>
    </row>
    <row r="48" ht="21" customHeight="1" spans="2:14" x14ac:dyDescent="0.25">
      <c r="B48" s="169">
        <v>45901</v>
      </c>
      <c r="C48" s="149" t="s">
        <v>79</v>
      </c>
      <c r="D48" s="150" t="s">
        <v>80</v>
      </c>
      <c r="E48" s="158" t="s">
        <v>81</v>
      </c>
      <c r="F48" s="158"/>
      <c r="G48" s="158" t="s">
        <v>351</v>
      </c>
      <c r="H48" s="133"/>
      <c r="I48" s="133">
        <v>1400</v>
      </c>
      <c r="J48" s="52">
        <v>290.46</v>
      </c>
      <c r="K48" s="52">
        <f t="shared" si="2"/>
        <v>1690.46</v>
      </c>
      <c r="L48" s="133">
        <v>3200</v>
      </c>
      <c r="M48" s="52">
        <f t="shared" si="3"/>
        <v>1509.54</v>
      </c>
      <c r="N48" s="151" t="s">
        <v>29</v>
      </c>
    </row>
    <row r="49" ht="21" customHeight="1" spans="2:14" x14ac:dyDescent="0.25">
      <c r="B49" s="169">
        <v>45901</v>
      </c>
      <c r="C49" s="149" t="s">
        <v>82</v>
      </c>
      <c r="D49" s="150" t="s">
        <v>83</v>
      </c>
      <c r="E49" s="158" t="s">
        <v>74</v>
      </c>
      <c r="F49" s="158"/>
      <c r="G49" s="158" t="s">
        <v>359</v>
      </c>
      <c r="H49" s="133"/>
      <c r="I49" s="133">
        <v>1175</v>
      </c>
      <c r="J49" s="52">
        <v>566.67</v>
      </c>
      <c r="K49" s="52">
        <f t="shared" si="2"/>
        <v>1741.67</v>
      </c>
      <c r="L49" s="133">
        <v>2295</v>
      </c>
      <c r="M49" s="52">
        <f t="shared" si="3"/>
        <v>553.3299999999999</v>
      </c>
      <c r="N49" s="151" t="s">
        <v>29</v>
      </c>
    </row>
    <row r="50" ht="24" customHeight="1" spans="2:14" x14ac:dyDescent="0.25">
      <c r="B50" s="76">
        <v>45901</v>
      </c>
      <c r="C50" s="144" t="s">
        <v>364</v>
      </c>
      <c r="D50" s="44" t="s">
        <v>89</v>
      </c>
      <c r="E50" s="77" t="s">
        <v>90</v>
      </c>
      <c r="F50" s="77"/>
      <c r="G50" s="77" t="s">
        <v>365</v>
      </c>
      <c r="H50" s="95"/>
      <c r="I50" s="95">
        <v>2500</v>
      </c>
      <c r="J50" s="45">
        <v>1030.94</v>
      </c>
      <c r="K50" s="64">
        <f t="shared" si="2"/>
        <v>3530.94</v>
      </c>
      <c r="L50" s="95"/>
      <c r="M50" s="45"/>
      <c r="N50" s="153" t="s">
        <v>349</v>
      </c>
    </row>
    <row r="51" ht="21" customHeight="1" spans="2:14" x14ac:dyDescent="0.25">
      <c r="B51" s="169">
        <v>45901</v>
      </c>
      <c r="C51" s="149" t="s">
        <v>84</v>
      </c>
      <c r="D51" s="150" t="s">
        <v>85</v>
      </c>
      <c r="E51" s="158" t="s">
        <v>86</v>
      </c>
      <c r="F51" s="158"/>
      <c r="G51" s="158" t="s">
        <v>365</v>
      </c>
      <c r="H51" s="133"/>
      <c r="I51" s="133">
        <v>1190</v>
      </c>
      <c r="J51" s="52">
        <v>529.95</v>
      </c>
      <c r="K51" s="52">
        <f t="shared" si="2"/>
        <v>1719.95</v>
      </c>
      <c r="L51" s="133">
        <v>2900</v>
      </c>
      <c r="M51" s="52">
        <f>L51-SUM(I51:J51)</f>
        <v>1180.05</v>
      </c>
      <c r="N51" s="151" t="s">
        <v>29</v>
      </c>
    </row>
    <row r="52" ht="21.75" customHeight="1" spans="2:14" x14ac:dyDescent="0.25">
      <c r="B52" s="76">
        <v>45901</v>
      </c>
      <c r="C52" s="144" t="s">
        <v>366</v>
      </c>
      <c r="D52" s="44" t="s">
        <v>91</v>
      </c>
      <c r="E52" s="77" t="s">
        <v>92</v>
      </c>
      <c r="F52" s="77"/>
      <c r="G52" s="77" t="s">
        <v>359</v>
      </c>
      <c r="H52" s="95"/>
      <c r="I52" s="95">
        <v>2174.8</v>
      </c>
      <c r="J52" s="85"/>
      <c r="K52" s="64">
        <f t="shared" si="2"/>
        <v>2174.8</v>
      </c>
      <c r="L52" s="109"/>
      <c r="M52" s="170"/>
      <c r="N52" s="153" t="s">
        <v>349</v>
      </c>
    </row>
    <row r="53" ht="21.75" customHeight="1" spans="2:14" x14ac:dyDescent="0.25">
      <c r="B53" s="169">
        <v>45901</v>
      </c>
      <c r="C53" s="149" t="s">
        <v>87</v>
      </c>
      <c r="D53" s="150" t="s">
        <v>88</v>
      </c>
      <c r="E53" s="158" t="s">
        <v>86</v>
      </c>
      <c r="F53" s="158"/>
      <c r="G53" s="158" t="s">
        <v>359</v>
      </c>
      <c r="H53" s="133"/>
      <c r="I53" s="133">
        <v>3072.8</v>
      </c>
      <c r="J53" s="52">
        <v>32.13000000000028</v>
      </c>
      <c r="K53" s="52">
        <f t="shared" si="2"/>
        <v>3104.9300000000003</v>
      </c>
      <c r="L53" s="133">
        <v>4565</v>
      </c>
      <c r="M53" s="52">
        <f>L53-SUM(I53:J53)</f>
        <v>1460.0699999999997</v>
      </c>
      <c r="N53" s="151" t="s">
        <v>29</v>
      </c>
    </row>
    <row r="54" ht="21.75" customHeight="1" spans="2:14" x14ac:dyDescent="0.25">
      <c r="B54" s="76">
        <v>45901</v>
      </c>
      <c r="C54" s="144" t="s">
        <v>367</v>
      </c>
      <c r="D54" s="44" t="s">
        <v>93</v>
      </c>
      <c r="E54" s="77" t="s">
        <v>94</v>
      </c>
      <c r="F54" s="77"/>
      <c r="G54" s="77" t="s">
        <v>368</v>
      </c>
      <c r="H54" s="95"/>
      <c r="I54" s="95">
        <v>925</v>
      </c>
      <c r="J54" s="45">
        <v>485.4399999999998</v>
      </c>
      <c r="K54" s="64">
        <f t="shared" si="2"/>
        <v>1410.4399999999998</v>
      </c>
      <c r="L54" s="109"/>
      <c r="M54" s="170"/>
      <c r="N54" s="153" t="s">
        <v>349</v>
      </c>
    </row>
    <row r="55" ht="22" customHeight="1" spans="2:14" x14ac:dyDescent="0.25">
      <c r="B55" s="76">
        <v>45901</v>
      </c>
      <c r="C55" s="144" t="s">
        <v>369</v>
      </c>
      <c r="D55" s="44" t="s">
        <v>95</v>
      </c>
      <c r="E55" s="77" t="s">
        <v>96</v>
      </c>
      <c r="F55" s="77"/>
      <c r="G55" s="77" t="s">
        <v>365</v>
      </c>
      <c r="H55" s="95"/>
      <c r="I55" s="95">
        <v>325</v>
      </c>
      <c r="J55" s="45">
        <v>726.1599999999999</v>
      </c>
      <c r="K55" s="64">
        <f t="shared" si="2"/>
        <v>1051.1599999999999</v>
      </c>
      <c r="L55" s="109"/>
      <c r="M55" s="170"/>
      <c r="N55" s="153" t="s">
        <v>349</v>
      </c>
    </row>
    <row r="56" ht="25" customHeight="1" spans="2:14" x14ac:dyDescent="0.25">
      <c r="B56" s="76">
        <v>45901</v>
      </c>
      <c r="C56" s="144" t="s">
        <v>370</v>
      </c>
      <c r="D56" s="44" t="s">
        <v>97</v>
      </c>
      <c r="E56" s="77" t="s">
        <v>98</v>
      </c>
      <c r="F56" s="77"/>
      <c r="G56" s="77" t="s">
        <v>359</v>
      </c>
      <c r="H56" s="95"/>
      <c r="I56" s="95">
        <v>725</v>
      </c>
      <c r="J56" s="45">
        <v>185.3100000000001</v>
      </c>
      <c r="K56" s="64">
        <f t="shared" si="2"/>
        <v>910.3100000000001</v>
      </c>
      <c r="L56" s="109"/>
      <c r="M56" s="170"/>
      <c r="N56" s="153" t="s">
        <v>349</v>
      </c>
    </row>
    <row r="57" ht="21.75" customHeight="1" spans="2:14" x14ac:dyDescent="0.25">
      <c r="B57" s="76">
        <v>45901</v>
      </c>
      <c r="C57" s="144" t="s">
        <v>371</v>
      </c>
      <c r="D57" s="44" t="s">
        <v>116</v>
      </c>
      <c r="E57" s="77" t="s">
        <v>81</v>
      </c>
      <c r="F57" s="77"/>
      <c r="G57" s="77" t="s">
        <v>359</v>
      </c>
      <c r="H57" s="95"/>
      <c r="I57" s="95">
        <v>2100</v>
      </c>
      <c r="J57" s="45">
        <v>1049.04</v>
      </c>
      <c r="K57" s="64">
        <f t="shared" si="2"/>
        <v>3149.04</v>
      </c>
      <c r="L57" s="109"/>
      <c r="M57" s="170"/>
      <c r="N57" s="84"/>
    </row>
    <row r="58" ht="21.75" customHeight="1" spans="2:14" x14ac:dyDescent="0.25">
      <c r="B58" s="76">
        <v>45901</v>
      </c>
      <c r="C58" s="144" t="s">
        <v>372</v>
      </c>
      <c r="D58" s="44" t="s">
        <v>108</v>
      </c>
      <c r="E58" s="77" t="s">
        <v>109</v>
      </c>
      <c r="F58" s="77"/>
      <c r="G58" s="77" t="s">
        <v>359</v>
      </c>
      <c r="H58" s="95"/>
      <c r="I58" s="95">
        <v>3400</v>
      </c>
      <c r="J58" s="45">
        <v>966.4300000000003</v>
      </c>
      <c r="K58" s="64">
        <f t="shared" si="2"/>
        <v>4366.43</v>
      </c>
      <c r="L58" s="109"/>
      <c r="M58" s="78"/>
      <c r="N58" s="84"/>
    </row>
    <row r="59" ht="21.75" customHeight="1" spans="2:14" x14ac:dyDescent="0.25">
      <c r="B59" s="80">
        <v>45901</v>
      </c>
      <c r="C59" s="171"/>
      <c r="D59" s="82"/>
      <c r="E59" s="81"/>
      <c r="F59" s="81"/>
      <c r="G59" s="81"/>
      <c r="H59" s="111"/>
      <c r="I59" s="111"/>
      <c r="J59" s="81"/>
      <c r="K59" s="83"/>
      <c r="L59" s="111"/>
      <c r="M59" s="81"/>
      <c r="N59" s="172"/>
    </row>
    <row r="60" ht="26.25" customHeight="1" spans="2:14" x14ac:dyDescent="0.25">
      <c r="B60" s="76">
        <v>45931</v>
      </c>
      <c r="C60" s="144">
        <v>45807</v>
      </c>
      <c r="D60" s="44" t="s">
        <v>161</v>
      </c>
      <c r="E60" s="77" t="s">
        <v>162</v>
      </c>
      <c r="F60" s="77"/>
      <c r="G60" s="77" t="s">
        <v>347</v>
      </c>
      <c r="H60" s="95"/>
      <c r="I60" s="95">
        <v>2000</v>
      </c>
      <c r="J60" s="45">
        <v>4597.14</v>
      </c>
      <c r="K60" s="45">
        <f t="shared" ref="K60:K82" si="4">SUM(I60:J60)</f>
        <v>6597.14</v>
      </c>
      <c r="L60" s="95"/>
      <c r="M60" s="78"/>
      <c r="N60" s="173" t="s">
        <v>357</v>
      </c>
    </row>
    <row r="61" ht="21.75" customHeight="1" spans="2:14" x14ac:dyDescent="0.25">
      <c r="B61" s="76">
        <v>45931</v>
      </c>
      <c r="C61" s="144">
        <v>45859</v>
      </c>
      <c r="D61" s="44" t="s">
        <v>120</v>
      </c>
      <c r="E61" s="77" t="s">
        <v>65</v>
      </c>
      <c r="F61" s="77"/>
      <c r="G61" s="77" t="s">
        <v>347</v>
      </c>
      <c r="H61" s="95"/>
      <c r="I61" s="95">
        <v>1200</v>
      </c>
      <c r="J61" s="45">
        <v>2451.52</v>
      </c>
      <c r="K61" s="45">
        <f t="shared" si="4"/>
        <v>3651.52</v>
      </c>
      <c r="L61" s="95"/>
      <c r="M61" s="78"/>
      <c r="N61" s="153" t="s">
        <v>349</v>
      </c>
    </row>
    <row r="62" ht="21.75" customHeight="1" spans="2:14" x14ac:dyDescent="0.25">
      <c r="B62" s="76">
        <v>45931</v>
      </c>
      <c r="C62" s="144">
        <v>45860</v>
      </c>
      <c r="D62" s="44" t="s">
        <v>104</v>
      </c>
      <c r="E62" s="77" t="s">
        <v>105</v>
      </c>
      <c r="F62" s="77"/>
      <c r="G62" s="77" t="s">
        <v>347</v>
      </c>
      <c r="H62" s="95"/>
      <c r="I62" s="95">
        <v>4387.08</v>
      </c>
      <c r="J62" s="45">
        <v>1648.789999999998</v>
      </c>
      <c r="K62" s="45">
        <f t="shared" si="4"/>
        <v>6035.869999999998</v>
      </c>
      <c r="L62" s="95"/>
      <c r="M62" s="45"/>
      <c r="N62" s="153" t="s">
        <v>349</v>
      </c>
    </row>
    <row r="63" ht="21.75" customHeight="1" spans="2:14" x14ac:dyDescent="0.25">
      <c r="B63" s="76">
        <v>45931</v>
      </c>
      <c r="C63" s="144">
        <v>45873</v>
      </c>
      <c r="D63" s="44" t="s">
        <v>139</v>
      </c>
      <c r="E63" s="77" t="s">
        <v>70</v>
      </c>
      <c r="F63" s="77"/>
      <c r="G63" s="77" t="s">
        <v>347</v>
      </c>
      <c r="H63" s="95"/>
      <c r="I63" s="95">
        <v>2250</v>
      </c>
      <c r="J63" s="45">
        <v>1172.079999999999</v>
      </c>
      <c r="K63" s="45">
        <f t="shared" si="4"/>
        <v>3422.079999999999</v>
      </c>
      <c r="L63" s="95"/>
      <c r="M63" s="78"/>
      <c r="N63" s="153" t="s">
        <v>349</v>
      </c>
    </row>
    <row r="64" ht="21.75" customHeight="1" spans="2:14" x14ac:dyDescent="0.25">
      <c r="B64" s="169">
        <v>45931</v>
      </c>
      <c r="C64" s="149">
        <v>45906</v>
      </c>
      <c r="D64" s="150" t="s">
        <v>89</v>
      </c>
      <c r="E64" s="158" t="s">
        <v>90</v>
      </c>
      <c r="F64" s="158"/>
      <c r="G64" s="158" t="s">
        <v>347</v>
      </c>
      <c r="H64" s="133"/>
      <c r="I64" s="133">
        <v>2500</v>
      </c>
      <c r="J64" s="52">
        <v>1030.94</v>
      </c>
      <c r="K64" s="52">
        <f t="shared" si="4"/>
        <v>3530.94</v>
      </c>
      <c r="L64" s="133">
        <v>3995</v>
      </c>
      <c r="M64" s="52">
        <f>L64-SUM(I64:J64)</f>
        <v>464.05999999999995</v>
      </c>
      <c r="N64" s="151" t="s">
        <v>29</v>
      </c>
    </row>
    <row r="65" ht="21.75" customHeight="1" spans="2:14" x14ac:dyDescent="0.25">
      <c r="B65" s="169">
        <v>45931</v>
      </c>
      <c r="C65" s="149">
        <v>45916</v>
      </c>
      <c r="D65" s="150" t="s">
        <v>91</v>
      </c>
      <c r="E65" s="158" t="s">
        <v>92</v>
      </c>
      <c r="F65" s="158"/>
      <c r="G65" s="158" t="s">
        <v>347</v>
      </c>
      <c r="H65" s="133"/>
      <c r="I65" s="133">
        <v>1900</v>
      </c>
      <c r="J65" s="52">
        <v>550.67</v>
      </c>
      <c r="K65" s="52">
        <f t="shared" si="4"/>
        <v>2450.67</v>
      </c>
      <c r="L65" s="133">
        <v>4000</v>
      </c>
      <c r="M65" s="52">
        <f>L65-SUM(I65:J65)</f>
        <v>1549.33</v>
      </c>
      <c r="N65" s="151" t="s">
        <v>29</v>
      </c>
    </row>
    <row r="66" ht="21.75" customHeight="1" spans="2:14" x14ac:dyDescent="0.25">
      <c r="B66" s="169">
        <v>45931</v>
      </c>
      <c r="C66" s="149">
        <v>45915</v>
      </c>
      <c r="D66" s="150" t="s">
        <v>93</v>
      </c>
      <c r="E66" s="158" t="s">
        <v>94</v>
      </c>
      <c r="F66" s="158"/>
      <c r="G66" s="158" t="s">
        <v>347</v>
      </c>
      <c r="H66" s="133"/>
      <c r="I66" s="133">
        <v>925</v>
      </c>
      <c r="J66" s="52">
        <v>724.24</v>
      </c>
      <c r="K66" s="52">
        <f t="shared" si="4"/>
        <v>1649.24</v>
      </c>
      <c r="L66" s="133">
        <v>2600</v>
      </c>
      <c r="M66" s="52">
        <f>L66-SUM(I66:J66)</f>
        <v>950.76</v>
      </c>
      <c r="N66" s="151" t="s">
        <v>29</v>
      </c>
    </row>
    <row r="67" ht="21.75" customHeight="1" spans="2:14" x14ac:dyDescent="0.25">
      <c r="B67" s="169">
        <v>45931</v>
      </c>
      <c r="C67" s="149">
        <v>45922</v>
      </c>
      <c r="D67" s="150" t="s">
        <v>95</v>
      </c>
      <c r="E67" s="158" t="s">
        <v>96</v>
      </c>
      <c r="F67" s="158"/>
      <c r="G67" s="158" t="s">
        <v>359</v>
      </c>
      <c r="H67" s="133"/>
      <c r="I67" s="133">
        <v>325</v>
      </c>
      <c r="J67" s="52">
        <v>726.1599999999999</v>
      </c>
      <c r="K67" s="52">
        <f t="shared" si="4"/>
        <v>1051.1599999999999</v>
      </c>
      <c r="L67" s="133">
        <v>2400</v>
      </c>
      <c r="M67" s="52">
        <f>L67-SUM(I67:J67)</f>
        <v>1348.8400000000001</v>
      </c>
      <c r="N67" s="151" t="s">
        <v>29</v>
      </c>
    </row>
    <row r="68" ht="21.75" customHeight="1" spans="2:14" x14ac:dyDescent="0.25">
      <c r="B68" s="169">
        <v>45931</v>
      </c>
      <c r="C68" s="149">
        <v>45924</v>
      </c>
      <c r="D68" s="150" t="s">
        <v>97</v>
      </c>
      <c r="E68" s="158" t="s">
        <v>98</v>
      </c>
      <c r="F68" s="158"/>
      <c r="G68" s="158" t="s">
        <v>359</v>
      </c>
      <c r="H68" s="133"/>
      <c r="I68" s="133">
        <v>725</v>
      </c>
      <c r="J68" s="52">
        <v>185.3100000000001</v>
      </c>
      <c r="K68" s="52">
        <f t="shared" si="4"/>
        <v>910.3100000000001</v>
      </c>
      <c r="L68" s="133">
        <v>1995</v>
      </c>
      <c r="M68" s="52">
        <f>L68-SUM(I68:J68)</f>
        <v>1084.69</v>
      </c>
      <c r="N68" s="151" t="s">
        <v>29</v>
      </c>
    </row>
    <row r="69" ht="21.75" customHeight="1" spans="2:14" x14ac:dyDescent="0.25">
      <c r="B69" s="76">
        <v>45931</v>
      </c>
      <c r="C69" s="144">
        <v>45928</v>
      </c>
      <c r="D69" s="44" t="s">
        <v>116</v>
      </c>
      <c r="E69" s="77" t="s">
        <v>81</v>
      </c>
      <c r="F69" s="77"/>
      <c r="G69" s="77" t="s">
        <v>347</v>
      </c>
      <c r="H69" s="95"/>
      <c r="I69" s="95">
        <v>2100</v>
      </c>
      <c r="J69" s="45">
        <v>1049.04</v>
      </c>
      <c r="K69" s="45">
        <f t="shared" si="4"/>
        <v>3149.04</v>
      </c>
      <c r="L69" s="95"/>
      <c r="M69" s="45"/>
      <c r="N69" s="153" t="s">
        <v>349</v>
      </c>
    </row>
    <row r="70" ht="21.75" customHeight="1" spans="2:14" x14ac:dyDescent="0.25">
      <c r="B70" s="76">
        <v>45931</v>
      </c>
      <c r="C70" s="144">
        <v>45929</v>
      </c>
      <c r="D70" s="44" t="s">
        <v>108</v>
      </c>
      <c r="E70" s="77" t="s">
        <v>109</v>
      </c>
      <c r="F70" s="77"/>
      <c r="G70" s="77" t="s">
        <v>30</v>
      </c>
      <c r="H70" s="95"/>
      <c r="I70" s="95">
        <v>3400</v>
      </c>
      <c r="J70" s="45">
        <v>966.4300000000003</v>
      </c>
      <c r="K70" s="45">
        <f t="shared" si="4"/>
        <v>4366.43</v>
      </c>
      <c r="L70" s="95"/>
      <c r="M70" s="78"/>
      <c r="N70" s="153" t="s">
        <v>349</v>
      </c>
    </row>
    <row r="71" ht="21.75" customHeight="1" spans="2:14" x14ac:dyDescent="0.25">
      <c r="B71" s="76">
        <v>45931</v>
      </c>
      <c r="C71" s="144">
        <v>45931</v>
      </c>
      <c r="D71" s="44" t="s">
        <v>126</v>
      </c>
      <c r="E71" s="77" t="s">
        <v>78</v>
      </c>
      <c r="F71" s="77"/>
      <c r="G71" s="77" t="s">
        <v>351</v>
      </c>
      <c r="H71" s="95"/>
      <c r="I71" s="95">
        <v>3100</v>
      </c>
      <c r="J71" s="45">
        <v>426.9000000000005</v>
      </c>
      <c r="K71" s="45">
        <f t="shared" si="4"/>
        <v>3526.9000000000005</v>
      </c>
      <c r="L71" s="95"/>
      <c r="M71" s="45"/>
      <c r="N71" s="153" t="s">
        <v>349</v>
      </c>
    </row>
    <row r="72" ht="21.75" customHeight="1" spans="2:14" x14ac:dyDescent="0.25">
      <c r="B72" s="169">
        <v>45931</v>
      </c>
      <c r="C72" s="149">
        <v>45931</v>
      </c>
      <c r="D72" s="150" t="s">
        <v>99</v>
      </c>
      <c r="E72" s="158" t="s">
        <v>100</v>
      </c>
      <c r="F72" s="158"/>
      <c r="G72" s="158" t="s">
        <v>359</v>
      </c>
      <c r="H72" s="133"/>
      <c r="I72" s="133">
        <v>2800</v>
      </c>
      <c r="J72" s="52">
        <v>634.1300000000006</v>
      </c>
      <c r="K72" s="52">
        <f t="shared" si="4"/>
        <v>3434.1300000000006</v>
      </c>
      <c r="L72" s="133">
        <v>5995</v>
      </c>
      <c r="M72" s="52">
        <f>L72-SUM(I72:J72)</f>
        <v>2560.8699999999994</v>
      </c>
      <c r="N72" s="151" t="s">
        <v>29</v>
      </c>
    </row>
    <row r="73" ht="21.75" customHeight="1" spans="2:14" x14ac:dyDescent="0.25">
      <c r="B73" s="169">
        <v>45931</v>
      </c>
      <c r="C73" s="149">
        <v>45935</v>
      </c>
      <c r="D73" s="150" t="s">
        <v>101</v>
      </c>
      <c r="E73" s="158" t="s">
        <v>102</v>
      </c>
      <c r="F73" s="158"/>
      <c r="G73" s="158" t="s">
        <v>373</v>
      </c>
      <c r="H73" s="133"/>
      <c r="I73" s="133">
        <v>1000</v>
      </c>
      <c r="J73" s="52">
        <v>625.91</v>
      </c>
      <c r="K73" s="52">
        <f t="shared" si="4"/>
        <v>1625.9099999999999</v>
      </c>
      <c r="L73" s="133">
        <v>3100</v>
      </c>
      <c r="M73" s="52">
        <f>L73-SUM(I73:J73)</f>
        <v>1474.0900000000001</v>
      </c>
      <c r="N73" s="151" t="s">
        <v>29</v>
      </c>
    </row>
    <row r="74" ht="21.75" customHeight="1" spans="2:14" x14ac:dyDescent="0.25">
      <c r="B74" s="76">
        <v>45931</v>
      </c>
      <c r="C74" s="144">
        <v>45935</v>
      </c>
      <c r="D74" s="44" t="s">
        <v>123</v>
      </c>
      <c r="E74" s="77" t="s">
        <v>124</v>
      </c>
      <c r="F74" s="77"/>
      <c r="G74" s="77" t="s">
        <v>365</v>
      </c>
      <c r="H74" s="95"/>
      <c r="I74" s="95">
        <v>1500</v>
      </c>
      <c r="J74" s="45">
        <v>2016.24</v>
      </c>
      <c r="K74" s="45">
        <f t="shared" si="4"/>
        <v>3516.24</v>
      </c>
      <c r="L74" s="95"/>
      <c r="M74" s="45"/>
      <c r="N74" s="153" t="s">
        <v>349</v>
      </c>
    </row>
    <row r="75" ht="21.75" customHeight="1" spans="2:14" x14ac:dyDescent="0.25">
      <c r="B75" s="76">
        <v>45931</v>
      </c>
      <c r="C75" s="144">
        <v>45947</v>
      </c>
      <c r="D75" s="44" t="s">
        <v>118</v>
      </c>
      <c r="E75" s="77" t="s">
        <v>119</v>
      </c>
      <c r="F75" s="77"/>
      <c r="G75" s="77" t="s">
        <v>359</v>
      </c>
      <c r="H75" s="95"/>
      <c r="I75" s="95">
        <v>1400</v>
      </c>
      <c r="J75" s="45">
        <v>783.0500000000002</v>
      </c>
      <c r="K75" s="45">
        <f t="shared" si="4"/>
        <v>2183.05</v>
      </c>
      <c r="L75" s="95"/>
      <c r="M75" s="78"/>
      <c r="N75" s="153" t="s">
        <v>349</v>
      </c>
    </row>
    <row r="76" ht="21.75" customHeight="1" spans="2:14" x14ac:dyDescent="0.25">
      <c r="B76" s="76">
        <v>45931</v>
      </c>
      <c r="C76" s="144">
        <v>45946</v>
      </c>
      <c r="D76" s="44" t="s">
        <v>112</v>
      </c>
      <c r="E76" s="77" t="s">
        <v>86</v>
      </c>
      <c r="F76" s="77"/>
      <c r="G76" s="77" t="s">
        <v>359</v>
      </c>
      <c r="H76" s="95"/>
      <c r="I76" s="95">
        <v>3800</v>
      </c>
      <c r="J76" s="45">
        <v>742.54</v>
      </c>
      <c r="K76" s="45">
        <f t="shared" si="4"/>
        <v>4542.54</v>
      </c>
      <c r="L76" s="95"/>
      <c r="M76" s="78"/>
      <c r="N76" s="153" t="s">
        <v>349</v>
      </c>
    </row>
    <row r="77" ht="21.75" customHeight="1" spans="2:14" x14ac:dyDescent="0.25">
      <c r="B77" s="76">
        <v>45931</v>
      </c>
      <c r="C77" s="144">
        <v>45950</v>
      </c>
      <c r="D77" s="44" t="s">
        <v>115</v>
      </c>
      <c r="E77" s="77" t="s">
        <v>86</v>
      </c>
      <c r="F77" s="77"/>
      <c r="G77" s="77" t="s">
        <v>359</v>
      </c>
      <c r="H77" s="95"/>
      <c r="I77" s="95">
        <v>4400</v>
      </c>
      <c r="J77" s="45">
        <v>843.21</v>
      </c>
      <c r="K77" s="45">
        <f t="shared" si="4"/>
        <v>5243.21</v>
      </c>
      <c r="L77" s="95"/>
      <c r="M77" s="78"/>
      <c r="N77" s="174"/>
    </row>
    <row r="78" ht="21.75" customHeight="1" spans="2:14" x14ac:dyDescent="0.25">
      <c r="B78" s="169">
        <v>45931</v>
      </c>
      <c r="C78" s="149">
        <v>45950</v>
      </c>
      <c r="D78" s="150" t="s">
        <v>103</v>
      </c>
      <c r="E78" s="158" t="s">
        <v>94</v>
      </c>
      <c r="F78" s="158"/>
      <c r="G78" s="158" t="s">
        <v>359</v>
      </c>
      <c r="H78" s="133"/>
      <c r="I78" s="133">
        <v>1600</v>
      </c>
      <c r="J78" s="52">
        <v>364.54</v>
      </c>
      <c r="K78" s="52">
        <f t="shared" si="4"/>
        <v>1964.54</v>
      </c>
      <c r="L78" s="133">
        <v>2650</v>
      </c>
      <c r="M78" s="52">
        <f>L78-SUM(I78:J78)</f>
        <v>685.46</v>
      </c>
      <c r="N78" s="151" t="s">
        <v>29</v>
      </c>
    </row>
    <row r="79" ht="21.75" customHeight="1" spans="2:14" x14ac:dyDescent="0.25">
      <c r="B79" s="76">
        <v>45931</v>
      </c>
      <c r="C79" s="144">
        <v>45950</v>
      </c>
      <c r="D79" s="44" t="s">
        <v>132</v>
      </c>
      <c r="E79" s="77" t="s">
        <v>94</v>
      </c>
      <c r="F79" s="77"/>
      <c r="G79" s="78"/>
      <c r="H79" s="109"/>
      <c r="I79" s="95">
        <v>1500</v>
      </c>
      <c r="J79" s="45"/>
      <c r="K79" s="45">
        <f t="shared" si="4"/>
        <v>1500</v>
      </c>
      <c r="L79" s="109"/>
      <c r="M79" s="78"/>
      <c r="N79" s="84"/>
    </row>
    <row r="80" ht="21.75" customHeight="1" spans="2:14" x14ac:dyDescent="0.25">
      <c r="B80" s="76">
        <v>45931</v>
      </c>
      <c r="C80" s="144">
        <v>45959</v>
      </c>
      <c r="D80" s="44" t="s">
        <v>374</v>
      </c>
      <c r="E80" s="77" t="s">
        <v>122</v>
      </c>
      <c r="F80" s="77"/>
      <c r="G80" s="78"/>
      <c r="H80" s="109"/>
      <c r="I80" s="95">
        <v>2000</v>
      </c>
      <c r="J80" s="45"/>
      <c r="K80" s="45">
        <f t="shared" si="4"/>
        <v>2000</v>
      </c>
      <c r="L80" s="109"/>
      <c r="M80" s="78"/>
      <c r="N80" s="84"/>
    </row>
    <row r="81" ht="22" customHeight="1" spans="2:14" x14ac:dyDescent="0.25">
      <c r="B81" s="76">
        <v>45931</v>
      </c>
      <c r="C81" s="144">
        <v>45960</v>
      </c>
      <c r="D81" s="44" t="s">
        <v>171</v>
      </c>
      <c r="E81" s="77" t="s">
        <v>122</v>
      </c>
      <c r="F81" s="77"/>
      <c r="G81" s="78"/>
      <c r="H81" s="109"/>
      <c r="I81" s="95">
        <v>1400</v>
      </c>
      <c r="J81" s="45"/>
      <c r="K81" s="45">
        <f t="shared" si="4"/>
        <v>1400</v>
      </c>
      <c r="L81" s="109"/>
      <c r="M81" s="78"/>
      <c r="N81" s="84"/>
    </row>
    <row r="82" ht="22" customHeight="1" spans="2:14" x14ac:dyDescent="0.25">
      <c r="B82" s="76">
        <v>45931</v>
      </c>
      <c r="C82" s="144">
        <v>45961</v>
      </c>
      <c r="D82" s="44" t="s">
        <v>127</v>
      </c>
      <c r="E82" s="77" t="s">
        <v>128</v>
      </c>
      <c r="F82" s="77"/>
      <c r="G82" s="78"/>
      <c r="H82" s="109"/>
      <c r="I82" s="95">
        <v>4250</v>
      </c>
      <c r="J82" s="45"/>
      <c r="K82" s="45">
        <f t="shared" si="4"/>
        <v>4250</v>
      </c>
      <c r="L82" s="109"/>
      <c r="M82" s="78"/>
      <c r="N82" s="84"/>
    </row>
    <row r="83" ht="22" customHeight="1" spans="2:14" x14ac:dyDescent="0.25">
      <c r="B83" s="80">
        <v>45931</v>
      </c>
      <c r="C83" s="171"/>
      <c r="D83" s="82"/>
      <c r="E83" s="81"/>
      <c r="F83" s="81"/>
      <c r="G83" s="81"/>
      <c r="H83" s="111"/>
      <c r="I83" s="111"/>
      <c r="J83" s="81"/>
      <c r="K83" s="83"/>
      <c r="L83" s="111"/>
      <c r="M83" s="81"/>
      <c r="N83" s="172"/>
    </row>
    <row r="84" ht="25.5" customHeight="1" spans="2:14" x14ac:dyDescent="0.25">
      <c r="B84" s="76">
        <v>45962</v>
      </c>
      <c r="C84" s="144">
        <v>45807</v>
      </c>
      <c r="D84" s="44" t="s">
        <v>161</v>
      </c>
      <c r="E84" s="77" t="s">
        <v>162</v>
      </c>
      <c r="F84" s="77" t="s">
        <v>107</v>
      </c>
      <c r="G84" s="77" t="s">
        <v>347</v>
      </c>
      <c r="H84" s="95"/>
      <c r="I84" s="95">
        <v>2000</v>
      </c>
      <c r="J84" s="45">
        <f>SUM('Nissan Navara WD63 NXU'!B3:B80)</f>
        <v>4737.99</v>
      </c>
      <c r="K84" s="45">
        <f t="shared" ref="K84:K96" si="5">SUM(I84:J84)</f>
        <v>6737.99</v>
      </c>
      <c r="L84" s="95"/>
      <c r="M84" s="45"/>
      <c r="N84" s="153" t="s">
        <v>349</v>
      </c>
    </row>
    <row r="85" ht="22" customHeight="1" spans="2:14" x14ac:dyDescent="0.25">
      <c r="B85" s="169">
        <v>45962</v>
      </c>
      <c r="C85" s="149">
        <v>45859</v>
      </c>
      <c r="D85" s="150" t="s">
        <v>120</v>
      </c>
      <c r="E85" s="158" t="s">
        <v>65</v>
      </c>
      <c r="F85" s="158" t="s">
        <v>107</v>
      </c>
      <c r="G85" s="158" t="s">
        <v>347</v>
      </c>
      <c r="H85" s="133"/>
      <c r="I85" s="133">
        <v>1200</v>
      </c>
      <c r="J85" s="52">
        <v>2451.52</v>
      </c>
      <c r="K85" s="52">
        <f t="shared" si="5"/>
        <v>3651.52</v>
      </c>
      <c r="L85" s="133">
        <v>3550</v>
      </c>
      <c r="M85" s="52">
        <f>L85-SUM(I85:J85)</f>
        <v>-101.51999999999998</v>
      </c>
      <c r="N85" s="151" t="s">
        <v>29</v>
      </c>
    </row>
    <row r="86" ht="22" customHeight="1" spans="2:14" x14ac:dyDescent="0.25">
      <c r="B86" s="169">
        <v>45962</v>
      </c>
      <c r="C86" s="149">
        <v>45860</v>
      </c>
      <c r="D86" s="150" t="s">
        <v>104</v>
      </c>
      <c r="E86" s="158" t="s">
        <v>105</v>
      </c>
      <c r="F86" s="158" t="s">
        <v>106</v>
      </c>
      <c r="G86" s="158" t="s">
        <v>345</v>
      </c>
      <c r="H86" s="133"/>
      <c r="I86" s="133">
        <v>4387.08</v>
      </c>
      <c r="J86" s="52">
        <v>1648.789999999998</v>
      </c>
      <c r="K86" s="52">
        <f t="shared" si="5"/>
        <v>6035.869999999998</v>
      </c>
      <c r="L86" s="133">
        <v>6300</v>
      </c>
      <c r="M86" s="52">
        <f>L86-SUM(I86:J86)</f>
        <v>264.1300000000019</v>
      </c>
      <c r="N86" s="151" t="s">
        <v>29</v>
      </c>
    </row>
    <row r="87" ht="22" customHeight="1" spans="2:14" x14ac:dyDescent="0.25">
      <c r="B87" s="169">
        <v>45962</v>
      </c>
      <c r="C87" s="149">
        <v>45873</v>
      </c>
      <c r="D87" s="150" t="s">
        <v>139</v>
      </c>
      <c r="E87" s="158" t="s">
        <v>70</v>
      </c>
      <c r="F87" s="158" t="s">
        <v>113</v>
      </c>
      <c r="G87" s="158" t="s">
        <v>347</v>
      </c>
      <c r="H87" s="133"/>
      <c r="I87" s="133">
        <v>2250</v>
      </c>
      <c r="J87" s="52">
        <f>350+400+180</f>
        <v>930</v>
      </c>
      <c r="K87" s="52">
        <f t="shared" si="5"/>
        <v>3180</v>
      </c>
      <c r="L87" s="133"/>
      <c r="M87" s="52"/>
      <c r="N87" s="151" t="s">
        <v>29</v>
      </c>
    </row>
    <row r="88" ht="22" customHeight="1" spans="2:14" x14ac:dyDescent="0.25">
      <c r="B88" s="169">
        <v>45962</v>
      </c>
      <c r="C88" s="149">
        <v>45928</v>
      </c>
      <c r="D88" s="150" t="s">
        <v>116</v>
      </c>
      <c r="E88" s="158" t="s">
        <v>81</v>
      </c>
      <c r="F88" s="158" t="s">
        <v>107</v>
      </c>
      <c r="G88" s="158" t="s">
        <v>359</v>
      </c>
      <c r="H88" s="133" t="s">
        <v>375</v>
      </c>
      <c r="I88" s="133">
        <v>2100</v>
      </c>
      <c r="J88" s="52">
        <v>1049.04</v>
      </c>
      <c r="K88" s="52">
        <f t="shared" si="5"/>
        <v>3149.04</v>
      </c>
      <c r="L88" s="133">
        <v>3795</v>
      </c>
      <c r="M88" s="52">
        <f t="shared" ref="M88:M96" si="6">L88-SUM(I88:J88)</f>
        <v>645.96</v>
      </c>
      <c r="N88" s="151" t="s">
        <v>29</v>
      </c>
    </row>
    <row r="89" ht="22" customHeight="1" spans="2:14" x14ac:dyDescent="0.25">
      <c r="B89" s="169">
        <v>45962</v>
      </c>
      <c r="C89" s="149">
        <v>45929</v>
      </c>
      <c r="D89" s="150" t="s">
        <v>108</v>
      </c>
      <c r="E89" s="158" t="s">
        <v>109</v>
      </c>
      <c r="F89" s="158" t="s">
        <v>110</v>
      </c>
      <c r="G89" s="158" t="s">
        <v>359</v>
      </c>
      <c r="H89" s="133"/>
      <c r="I89" s="133">
        <v>3400</v>
      </c>
      <c r="J89" s="52">
        <v>986.43</v>
      </c>
      <c r="K89" s="52">
        <f t="shared" si="5"/>
        <v>4386.43</v>
      </c>
      <c r="L89" s="175">
        <v>5394</v>
      </c>
      <c r="M89" s="52">
        <f t="shared" si="6"/>
        <v>1007.5699999999997</v>
      </c>
      <c r="N89" s="151" t="s">
        <v>29</v>
      </c>
    </row>
    <row r="90" ht="22" customHeight="1" spans="2:14" x14ac:dyDescent="0.25">
      <c r="B90" s="169">
        <v>45962</v>
      </c>
      <c r="C90" s="149">
        <v>45931</v>
      </c>
      <c r="D90" s="150" t="s">
        <v>126</v>
      </c>
      <c r="E90" s="158" t="s">
        <v>78</v>
      </c>
      <c r="F90" s="158" t="s">
        <v>125</v>
      </c>
      <c r="G90" s="158" t="s">
        <v>359</v>
      </c>
      <c r="H90" s="133"/>
      <c r="I90" s="133">
        <v>3100</v>
      </c>
      <c r="J90" s="52">
        <f>SUM('Ford Fiesta MK59 FUV'!B3:B15)</f>
        <v>849.3500000000001</v>
      </c>
      <c r="K90" s="52">
        <f t="shared" si="5"/>
        <v>3949.3500000000004</v>
      </c>
      <c r="L90" s="133">
        <v>5795</v>
      </c>
      <c r="M90" s="52">
        <f t="shared" si="6"/>
        <v>1845.6499999999996</v>
      </c>
      <c r="N90" s="151" t="s">
        <v>29</v>
      </c>
    </row>
    <row r="91" ht="22" customHeight="1" spans="2:14" x14ac:dyDescent="0.25">
      <c r="B91" s="169">
        <v>45962</v>
      </c>
      <c r="C91" s="149">
        <v>45935</v>
      </c>
      <c r="D91" s="150" t="s">
        <v>123</v>
      </c>
      <c r="E91" s="158" t="s">
        <v>124</v>
      </c>
      <c r="F91" s="158" t="s">
        <v>125</v>
      </c>
      <c r="G91" s="158" t="s">
        <v>376</v>
      </c>
      <c r="H91" s="133"/>
      <c r="I91" s="133">
        <v>1500</v>
      </c>
      <c r="J91" s="52">
        <v>2016.24</v>
      </c>
      <c r="K91" s="52">
        <f t="shared" si="5"/>
        <v>3516.24</v>
      </c>
      <c r="L91" s="133">
        <v>5591.61</v>
      </c>
      <c r="M91" s="52">
        <f t="shared" si="6"/>
        <v>2075.37</v>
      </c>
      <c r="N91" s="151" t="s">
        <v>29</v>
      </c>
    </row>
    <row r="92" ht="22" customHeight="1" spans="2:14" x14ac:dyDescent="0.25">
      <c r="B92" s="169">
        <v>45962</v>
      </c>
      <c r="C92" s="149">
        <v>45947</v>
      </c>
      <c r="D92" s="150" t="s">
        <v>118</v>
      </c>
      <c r="E92" s="158" t="s">
        <v>119</v>
      </c>
      <c r="F92" s="158" t="s">
        <v>107</v>
      </c>
      <c r="G92" s="158" t="s">
        <v>359</v>
      </c>
      <c r="H92" s="133"/>
      <c r="I92" s="133">
        <v>1400</v>
      </c>
      <c r="J92" s="52">
        <f>783.05+238.8</f>
        <v>1021.8499999999999</v>
      </c>
      <c r="K92" s="52">
        <f t="shared" si="5"/>
        <v>2421.85</v>
      </c>
      <c r="L92" s="133">
        <v>2989.66</v>
      </c>
      <c r="M92" s="52">
        <f t="shared" si="6"/>
        <v>567.81</v>
      </c>
      <c r="N92" s="151" t="s">
        <v>29</v>
      </c>
    </row>
    <row r="93" ht="22" customHeight="1" spans="2:14" x14ac:dyDescent="0.25">
      <c r="B93" s="169">
        <v>45962</v>
      </c>
      <c r="C93" s="149">
        <v>45948</v>
      </c>
      <c r="D93" s="150" t="s">
        <v>112</v>
      </c>
      <c r="E93" s="158" t="s">
        <v>86</v>
      </c>
      <c r="F93" s="158" t="s">
        <v>113</v>
      </c>
      <c r="G93" s="158" t="s">
        <v>359</v>
      </c>
      <c r="H93" s="133"/>
      <c r="I93" s="133">
        <v>3800</v>
      </c>
      <c r="J93" s="52">
        <v>742.54</v>
      </c>
      <c r="K93" s="52">
        <f t="shared" si="5"/>
        <v>4542.54</v>
      </c>
      <c r="L93" s="133">
        <v>5795</v>
      </c>
      <c r="M93" s="52">
        <f t="shared" si="6"/>
        <v>1252.46</v>
      </c>
      <c r="N93" s="151" t="s">
        <v>29</v>
      </c>
    </row>
    <row r="94" ht="22" customHeight="1" spans="2:14" x14ac:dyDescent="0.25">
      <c r="B94" s="169">
        <v>45962</v>
      </c>
      <c r="C94" s="149">
        <v>45950</v>
      </c>
      <c r="D94" s="150" t="s">
        <v>115</v>
      </c>
      <c r="E94" s="158" t="s">
        <v>86</v>
      </c>
      <c r="F94" s="158" t="s">
        <v>113</v>
      </c>
      <c r="G94" s="158" t="s">
        <v>359</v>
      </c>
      <c r="H94" s="133"/>
      <c r="I94" s="133">
        <v>4400</v>
      </c>
      <c r="J94" s="52">
        <f>843.21+280</f>
        <v>1123.21</v>
      </c>
      <c r="K94" s="52">
        <f t="shared" si="5"/>
        <v>5523.21</v>
      </c>
      <c r="L94" s="176">
        <v>6795</v>
      </c>
      <c r="M94" s="52">
        <f t="shared" si="6"/>
        <v>1271.79</v>
      </c>
      <c r="N94" s="151" t="s">
        <v>29</v>
      </c>
    </row>
    <row r="95" ht="22" customHeight="1" spans="2:14" x14ac:dyDescent="0.25">
      <c r="B95" s="169">
        <v>45962</v>
      </c>
      <c r="C95" s="149">
        <v>45950</v>
      </c>
      <c r="D95" s="150" t="s">
        <v>132</v>
      </c>
      <c r="E95" s="158" t="s">
        <v>94</v>
      </c>
      <c r="F95" s="158" t="s">
        <v>113</v>
      </c>
      <c r="G95" s="158" t="s">
        <v>359</v>
      </c>
      <c r="H95" s="133"/>
      <c r="I95" s="133">
        <v>1500</v>
      </c>
      <c r="J95" s="52">
        <f>SUM('Smart Fortwo YT63 ENJ (B)'!B3:B21)</f>
        <v>1076.0000000000002</v>
      </c>
      <c r="K95" s="52">
        <f t="shared" si="5"/>
        <v>2576</v>
      </c>
      <c r="L95" s="133">
        <v>3900</v>
      </c>
      <c r="M95" s="52">
        <f t="shared" si="6"/>
        <v>1324</v>
      </c>
      <c r="N95" s="151" t="s">
        <v>29</v>
      </c>
    </row>
    <row r="96" ht="22" customHeight="1" spans="2:14" x14ac:dyDescent="0.25">
      <c r="B96" s="169">
        <v>45962</v>
      </c>
      <c r="C96" s="149">
        <v>45959</v>
      </c>
      <c r="D96" s="150" t="s">
        <v>121</v>
      </c>
      <c r="E96" s="158" t="s">
        <v>122</v>
      </c>
      <c r="F96" s="158" t="s">
        <v>110</v>
      </c>
      <c r="G96" s="158" t="s">
        <v>377</v>
      </c>
      <c r="H96" s="133"/>
      <c r="I96" s="133">
        <v>2000</v>
      </c>
      <c r="J96" s="52">
        <f>SUM('Fiat 500 DP64CXV White'!B3:B19)</f>
        <v>386.87</v>
      </c>
      <c r="K96" s="52">
        <f t="shared" si="5"/>
        <v>2386.87</v>
      </c>
      <c r="L96" s="133">
        <v>4695</v>
      </c>
      <c r="M96" s="52">
        <f t="shared" si="6"/>
        <v>2308.13</v>
      </c>
      <c r="N96" s="151" t="s">
        <v>29</v>
      </c>
    </row>
    <row r="97" ht="22" customHeight="1" spans="2:14" x14ac:dyDescent="0.25">
      <c r="B97" s="76">
        <v>45962</v>
      </c>
      <c r="C97" s="144">
        <v>45960</v>
      </c>
      <c r="D97" s="44" t="s">
        <v>171</v>
      </c>
      <c r="E97" s="77" t="s">
        <v>122</v>
      </c>
      <c r="F97" s="77" t="s">
        <v>107</v>
      </c>
      <c r="G97" s="77" t="s">
        <v>359</v>
      </c>
      <c r="H97" s="95"/>
      <c r="I97" s="95">
        <v>1400</v>
      </c>
      <c r="J97" s="45">
        <f>SUM('Fiat 500 WM63 XCE Grey'!B3:B9)</f>
        <v>1131.6100000000001</v>
      </c>
      <c r="K97" s="45"/>
      <c r="L97" s="109"/>
      <c r="M97" s="45"/>
      <c r="N97" s="84"/>
    </row>
    <row r="98" ht="22" customHeight="1" spans="2:14" x14ac:dyDescent="0.25">
      <c r="B98" s="169">
        <v>45962</v>
      </c>
      <c r="C98" s="149">
        <v>45961</v>
      </c>
      <c r="D98" s="150" t="s">
        <v>127</v>
      </c>
      <c r="E98" s="158" t="s">
        <v>128</v>
      </c>
      <c r="F98" s="158" t="s">
        <v>129</v>
      </c>
      <c r="G98" s="158" t="s">
        <v>359</v>
      </c>
      <c r="H98" s="133"/>
      <c r="I98" s="133">
        <v>4250</v>
      </c>
      <c r="J98" s="52">
        <f>SUM('Audi A5 ET65 BWO'!B3:B10)</f>
        <v>1187.63</v>
      </c>
      <c r="K98" s="52">
        <f t="shared" ref="K98:K103" si="7">SUM(I98:J98)</f>
        <v>5437.63</v>
      </c>
      <c r="L98" s="133">
        <v>8602</v>
      </c>
      <c r="M98" s="52">
        <f>L98-SUM(I98:J98)</f>
        <v>3164.37</v>
      </c>
      <c r="N98" s="151" t="s">
        <v>29</v>
      </c>
    </row>
    <row r="99" ht="22" customHeight="1" spans="2:14" x14ac:dyDescent="0.25">
      <c r="B99" s="76">
        <v>45962</v>
      </c>
      <c r="C99" s="144">
        <v>45965</v>
      </c>
      <c r="D99" s="44" t="s">
        <v>177</v>
      </c>
      <c r="E99" s="77" t="s">
        <v>178</v>
      </c>
      <c r="F99" s="77" t="s">
        <v>135</v>
      </c>
      <c r="G99" s="77" t="s">
        <v>359</v>
      </c>
      <c r="H99" s="95"/>
      <c r="I99" s="95">
        <f>4250</f>
        <v>4250</v>
      </c>
      <c r="J99" s="45">
        <f>SUM('Nissan Qashqai KM17 YTV'!B3:B19)</f>
        <v>4111.51</v>
      </c>
      <c r="K99" s="45">
        <f t="shared" si="7"/>
        <v>8361.51</v>
      </c>
      <c r="L99" s="109"/>
      <c r="M99" s="45"/>
      <c r="N99" s="84"/>
    </row>
    <row r="100" ht="22" customHeight="1" spans="2:14" x14ac:dyDescent="0.25">
      <c r="B100" s="169">
        <v>45962</v>
      </c>
      <c r="C100" s="149">
        <v>45970</v>
      </c>
      <c r="D100" s="150" t="s">
        <v>378</v>
      </c>
      <c r="E100" s="158" t="s">
        <v>86</v>
      </c>
      <c r="F100" s="158" t="s">
        <v>113</v>
      </c>
      <c r="G100" s="158" t="s">
        <v>359</v>
      </c>
      <c r="H100" s="133"/>
      <c r="I100" s="133">
        <v>4252.51</v>
      </c>
      <c r="J100" s="52">
        <f>SUM('Volkswagen Polo JFZ 1824'!B3:B26)</f>
        <v>643.2900000000001</v>
      </c>
      <c r="K100" s="52">
        <f t="shared" si="7"/>
        <v>4895.8</v>
      </c>
      <c r="L100" s="177"/>
      <c r="M100" s="52"/>
      <c r="N100" s="178"/>
    </row>
    <row r="101" ht="26.25" customHeight="1" spans="2:14" x14ac:dyDescent="0.25">
      <c r="B101" s="76">
        <v>45962</v>
      </c>
      <c r="C101" s="144">
        <v>45975</v>
      </c>
      <c r="D101" s="44" t="s">
        <v>195</v>
      </c>
      <c r="E101" s="77" t="s">
        <v>122</v>
      </c>
      <c r="F101" s="77" t="s">
        <v>110</v>
      </c>
      <c r="G101" s="77" t="s">
        <v>359</v>
      </c>
      <c r="H101" s="95"/>
      <c r="I101" s="95">
        <v>3500</v>
      </c>
      <c r="J101" s="45">
        <f>SUM('Fiat 500 YB65 XPP'!B3:B26)</f>
        <v>779.18</v>
      </c>
      <c r="K101" s="45">
        <f t="shared" si="7"/>
        <v>4279.18</v>
      </c>
      <c r="L101" s="109"/>
      <c r="M101" s="78"/>
      <c r="N101" s="84"/>
    </row>
    <row r="102" ht="26.25" customHeight="1" spans="2:14" x14ac:dyDescent="0.25">
      <c r="B102" s="76">
        <v>45962</v>
      </c>
      <c r="C102" s="144">
        <v>45975</v>
      </c>
      <c r="D102" s="44" t="s">
        <v>176</v>
      </c>
      <c r="E102" s="77" t="s">
        <v>131</v>
      </c>
      <c r="F102" s="77" t="s">
        <v>129</v>
      </c>
      <c r="G102" s="77" t="s">
        <v>359</v>
      </c>
      <c r="H102" s="95"/>
      <c r="I102" s="95">
        <v>3500</v>
      </c>
      <c r="J102" s="45">
        <f>SUM('Audi A1 MF12'!B3:B21)</f>
        <v>890.79</v>
      </c>
      <c r="K102" s="45">
        <f t="shared" si="7"/>
        <v>4390.79</v>
      </c>
      <c r="L102" s="109"/>
      <c r="M102" s="78"/>
      <c r="N102" s="84"/>
    </row>
    <row r="103" ht="27.75" customHeight="1" spans="2:14" x14ac:dyDescent="0.25">
      <c r="B103" s="169">
        <v>45962</v>
      </c>
      <c r="C103" s="149">
        <v>45975</v>
      </c>
      <c r="D103" s="150" t="s">
        <v>130</v>
      </c>
      <c r="E103" s="158" t="s">
        <v>131</v>
      </c>
      <c r="F103" s="158" t="s">
        <v>113</v>
      </c>
      <c r="G103" s="158" t="s">
        <v>359</v>
      </c>
      <c r="H103" s="133"/>
      <c r="I103" s="133">
        <v>5075</v>
      </c>
      <c r="J103" s="52">
        <f>SUM('Audi A1 EJ11'!B3:B20)</f>
        <v>402.23</v>
      </c>
      <c r="K103" s="52">
        <f t="shared" si="7"/>
        <v>5477.23</v>
      </c>
      <c r="L103" s="133">
        <v>7250</v>
      </c>
      <c r="M103" s="52">
        <f>L103-SUM(I103:J103)</f>
        <v>1772.7700000000004</v>
      </c>
      <c r="N103" s="151" t="s">
        <v>29</v>
      </c>
    </row>
    <row r="104" ht="26.25" customHeight="1" spans="2:14" x14ac:dyDescent="0.25">
      <c r="B104" s="76">
        <v>45962</v>
      </c>
      <c r="C104" s="144">
        <v>45976</v>
      </c>
      <c r="D104" s="44" t="s">
        <v>164</v>
      </c>
      <c r="E104" s="77" t="s">
        <v>86</v>
      </c>
      <c r="F104" s="77" t="s">
        <v>107</v>
      </c>
      <c r="G104" s="77" t="s">
        <v>350</v>
      </c>
      <c r="H104" s="95">
        <v>700</v>
      </c>
      <c r="I104" s="109"/>
      <c r="J104" s="45">
        <f>SUM('Polo HG57'!B3:B10)</f>
        <v>770.5699999999999</v>
      </c>
      <c r="K104" s="45">
        <f t="shared" ref="K104:K110" si="8">SUM(H104:J104)</f>
        <v>1470.57</v>
      </c>
      <c r="L104" s="109"/>
      <c r="M104" s="78"/>
      <c r="N104" s="84"/>
    </row>
    <row r="105" ht="26.25" customHeight="1" spans="2:14" x14ac:dyDescent="0.25">
      <c r="B105" s="169">
        <v>45962</v>
      </c>
      <c r="C105" s="149">
        <v>45974</v>
      </c>
      <c r="D105" s="150" t="s">
        <v>137</v>
      </c>
      <c r="E105" s="158" t="s">
        <v>138</v>
      </c>
      <c r="F105" s="158" t="s">
        <v>107</v>
      </c>
      <c r="G105" s="158" t="s">
        <v>350</v>
      </c>
      <c r="H105" s="133">
        <v>200</v>
      </c>
      <c r="I105" s="177"/>
      <c r="J105" s="52">
        <f>SUM('Nissan Micra NL55 YXG'!B3:B20)</f>
        <v>0</v>
      </c>
      <c r="K105" s="52">
        <f t="shared" si="8"/>
        <v>200</v>
      </c>
      <c r="L105" s="133">
        <v>500</v>
      </c>
      <c r="M105" s="52">
        <f>L105-SUM(I105:J105)</f>
        <v>500</v>
      </c>
      <c r="N105" s="151" t="s">
        <v>29</v>
      </c>
    </row>
    <row r="106" ht="26.25" customHeight="1" spans="2:14" x14ac:dyDescent="0.25">
      <c r="B106" s="76">
        <v>45962</v>
      </c>
      <c r="C106" s="144">
        <v>45977</v>
      </c>
      <c r="D106" s="44" t="s">
        <v>169</v>
      </c>
      <c r="E106" s="77" t="s">
        <v>170</v>
      </c>
      <c r="F106" s="77" t="s">
        <v>113</v>
      </c>
      <c r="G106" s="77" t="s">
        <v>359</v>
      </c>
      <c r="H106" s="95"/>
      <c r="I106" s="95">
        <f>4350</f>
        <v>4350</v>
      </c>
      <c r="J106" s="45">
        <f>SUM('Audi S5 SP08 KLX '!B3:B16)</f>
        <v>729.06</v>
      </c>
      <c r="K106" s="45">
        <f t="shared" si="8"/>
        <v>5079.0599999999995</v>
      </c>
      <c r="L106" s="95"/>
      <c r="M106" s="77"/>
      <c r="N106" s="174"/>
    </row>
    <row r="107" ht="26.25" customHeight="1" spans="2:14" x14ac:dyDescent="0.25">
      <c r="B107" s="169">
        <v>45962</v>
      </c>
      <c r="C107" s="149">
        <v>45980</v>
      </c>
      <c r="D107" s="150" t="s">
        <v>144</v>
      </c>
      <c r="E107" s="158" t="s">
        <v>122</v>
      </c>
      <c r="F107" s="158" t="s">
        <v>106</v>
      </c>
      <c r="G107" s="158" t="s">
        <v>359</v>
      </c>
      <c r="H107" s="133"/>
      <c r="I107" s="133">
        <f>4000</f>
        <v>4000</v>
      </c>
      <c r="J107" s="52">
        <f>SUM('Fiat 500 CX14 PVO'!B3:B17)</f>
        <v>818.1433333333333</v>
      </c>
      <c r="K107" s="52">
        <f t="shared" si="8"/>
        <v>4818.143333333333</v>
      </c>
      <c r="L107" s="52">
        <v>5995</v>
      </c>
      <c r="M107" s="52">
        <f>L107-SUM(I107:J107)</f>
        <v>1176.8566666666666</v>
      </c>
      <c r="N107" s="179"/>
    </row>
    <row r="108" ht="26.25" customHeight="1" spans="2:14" x14ac:dyDescent="0.25">
      <c r="B108" s="76">
        <v>45962</v>
      </c>
      <c r="C108" s="144">
        <v>45980</v>
      </c>
      <c r="D108" s="44" t="s">
        <v>165</v>
      </c>
      <c r="E108" s="77" t="s">
        <v>166</v>
      </c>
      <c r="F108" s="77" t="s">
        <v>125</v>
      </c>
      <c r="G108" s="77" t="s">
        <v>359</v>
      </c>
      <c r="H108" s="95"/>
      <c r="I108" s="95">
        <f>4000</f>
        <v>4000</v>
      </c>
      <c r="J108" s="45">
        <f>SUM('Kuga VX15 DYU'!B3:B18)</f>
        <v>1602.543333333333</v>
      </c>
      <c r="K108" s="45">
        <f t="shared" si="8"/>
        <v>5602.543333333333</v>
      </c>
      <c r="L108" s="95"/>
      <c r="M108" s="77"/>
      <c r="N108" s="174"/>
    </row>
    <row r="109" ht="26.25" customHeight="1" spans="2:14" x14ac:dyDescent="0.25">
      <c r="B109" s="169">
        <v>45962</v>
      </c>
      <c r="C109" s="149">
        <v>45980</v>
      </c>
      <c r="D109" s="150" t="s">
        <v>141</v>
      </c>
      <c r="E109" s="158" t="s">
        <v>142</v>
      </c>
      <c r="F109" s="158" t="s">
        <v>113</v>
      </c>
      <c r="G109" s="158" t="s">
        <v>359</v>
      </c>
      <c r="H109" s="133"/>
      <c r="I109" s="133">
        <f>4750</f>
        <v>4750</v>
      </c>
      <c r="J109" s="52">
        <f>SUM('Golf Match LR15 EUT'!B3:B17)</f>
        <v>498.40333333333336</v>
      </c>
      <c r="K109" s="52">
        <f t="shared" si="8"/>
        <v>5248.403333333334</v>
      </c>
      <c r="L109" s="52">
        <v>7495</v>
      </c>
      <c r="M109" s="52">
        <f>L109-SUM(I109:J109)</f>
        <v>2246.5966666666664</v>
      </c>
      <c r="N109" s="179"/>
    </row>
    <row r="110" ht="26.25" customHeight="1" spans="2:14" x14ac:dyDescent="0.25">
      <c r="B110" s="76">
        <v>45962</v>
      </c>
      <c r="C110" s="144">
        <v>45983</v>
      </c>
      <c r="D110" s="44" t="s">
        <v>181</v>
      </c>
      <c r="E110" s="77" t="s">
        <v>182</v>
      </c>
      <c r="F110" s="77" t="s">
        <v>125</v>
      </c>
      <c r="G110" s="77" t="s">
        <v>359</v>
      </c>
      <c r="H110" s="95"/>
      <c r="I110" s="95">
        <v>4000</v>
      </c>
      <c r="J110" s="45">
        <f>SUM('Polo BlueGT CE65 MJJ'!B3:B21)</f>
        <v>783.3200000000002</v>
      </c>
      <c r="K110" s="45">
        <f t="shared" si="8"/>
        <v>4783.32</v>
      </c>
      <c r="L110" s="95"/>
      <c r="M110" s="77"/>
      <c r="N110" s="174"/>
    </row>
    <row r="111" ht="26.25" customHeight="1" spans="2:14" x14ac:dyDescent="0.25">
      <c r="B111" s="169">
        <v>45962</v>
      </c>
      <c r="C111" s="149">
        <v>45985</v>
      </c>
      <c r="D111" s="150" t="s">
        <v>133</v>
      </c>
      <c r="E111" s="158" t="s">
        <v>134</v>
      </c>
      <c r="F111" s="158" t="s">
        <v>135</v>
      </c>
      <c r="G111" s="158" t="s">
        <v>377</v>
      </c>
      <c r="H111" s="133" t="s">
        <v>136</v>
      </c>
      <c r="I111" s="133">
        <v>5800</v>
      </c>
      <c r="J111" s="52">
        <f>SUM('Audi A4 YB15GRU'!B3:B15)</f>
        <v>175.85</v>
      </c>
      <c r="K111" s="52">
        <f>SUM(I111:J111)</f>
        <v>5975.85</v>
      </c>
      <c r="L111" s="133">
        <v>7400</v>
      </c>
      <c r="M111" s="52"/>
      <c r="N111" s="179" t="s">
        <v>29</v>
      </c>
    </row>
    <row r="112" ht="26.25" customHeight="1" spans="2:14" x14ac:dyDescent="0.25">
      <c r="B112" s="76">
        <v>45962</v>
      </c>
      <c r="C112" s="144">
        <v>45985</v>
      </c>
      <c r="D112" s="44" t="s">
        <v>196</v>
      </c>
      <c r="E112" s="77" t="s">
        <v>197</v>
      </c>
      <c r="F112" s="77" t="s">
        <v>110</v>
      </c>
      <c r="G112" s="77" t="s">
        <v>377</v>
      </c>
      <c r="H112" s="95" t="s">
        <v>379</v>
      </c>
      <c r="I112" s="95">
        <v>2625</v>
      </c>
      <c r="J112" s="45">
        <f>SUM('Jaguar XF OY61 UTH'!B4:B17)</f>
        <v>543.1366666666668</v>
      </c>
      <c r="K112" s="45">
        <f>SUM(H112:J112)</f>
        <v>3168.1366666666668</v>
      </c>
      <c r="L112" s="95"/>
      <c r="M112" s="64"/>
      <c r="N112" s="174"/>
    </row>
    <row r="113" ht="27" customHeight="1" spans="2:14" x14ac:dyDescent="0.25">
      <c r="B113" s="169">
        <v>45962</v>
      </c>
      <c r="C113" s="149">
        <v>45985</v>
      </c>
      <c r="D113" s="150" t="s">
        <v>152</v>
      </c>
      <c r="E113" s="158" t="s">
        <v>380</v>
      </c>
      <c r="F113" s="158" t="s">
        <v>107</v>
      </c>
      <c r="G113" s="158" t="s">
        <v>377</v>
      </c>
      <c r="H113" s="133"/>
      <c r="I113" s="133">
        <v>2100</v>
      </c>
      <c r="J113" s="52">
        <f>SUM('Peugot 107 LN11 '!B3:B18)</f>
        <v>471.2166666666667</v>
      </c>
      <c r="K113" s="52">
        <f>SUM(H113:J113)</f>
        <v>2571.2166666666667</v>
      </c>
      <c r="L113" s="133">
        <v>3500</v>
      </c>
      <c r="M113" s="52">
        <f>L113-SUM(I113:J113)</f>
        <v>928.7833333333333</v>
      </c>
      <c r="N113" s="179"/>
    </row>
    <row r="114" ht="26.25" customHeight="1" spans="2:14" x14ac:dyDescent="0.25">
      <c r="B114" s="76">
        <v>45962</v>
      </c>
      <c r="C114" s="144">
        <v>45989</v>
      </c>
      <c r="D114" s="44" t="s">
        <v>185</v>
      </c>
      <c r="E114" s="77" t="s">
        <v>186</v>
      </c>
      <c r="F114" s="77" t="s">
        <v>113</v>
      </c>
      <c r="G114" s="77" t="s">
        <v>359</v>
      </c>
      <c r="H114" s="95"/>
      <c r="I114" s="95">
        <v>4650</v>
      </c>
      <c r="J114" s="45">
        <f>SUM('Honda CRV KU13 FBF'!B3:B25)</f>
        <v>1082.32</v>
      </c>
      <c r="K114" s="45">
        <f>SUM(H114:J114)</f>
        <v>5732.32</v>
      </c>
      <c r="L114" s="95"/>
      <c r="M114" s="77"/>
      <c r="N114" s="174"/>
    </row>
    <row r="115" ht="26.25" customHeight="1" spans="2:14" x14ac:dyDescent="0.25">
      <c r="B115" s="76">
        <v>45962</v>
      </c>
      <c r="C115" s="144">
        <v>45989</v>
      </c>
      <c r="D115" s="122" t="s">
        <v>238</v>
      </c>
      <c r="E115" s="122" t="s">
        <v>239</v>
      </c>
      <c r="F115" s="122" t="s">
        <v>107</v>
      </c>
      <c r="G115" s="77" t="s">
        <v>359</v>
      </c>
      <c r="H115" s="101"/>
      <c r="I115" s="101">
        <v>3200</v>
      </c>
      <c r="J115" s="180">
        <f>SUM('Polo MF14 TUH'!B3:B21)</f>
        <v>1701.89</v>
      </c>
      <c r="K115" s="45">
        <f>SUM(H115:J115)</f>
        <v>4901.89</v>
      </c>
      <c r="L115" s="101"/>
      <c r="M115" s="180"/>
      <c r="N115" s="181"/>
    </row>
    <row r="116" ht="26.25" customHeight="1" spans="2:14" x14ac:dyDescent="0.25">
      <c r="B116" s="169">
        <v>45962</v>
      </c>
      <c r="C116" s="149">
        <v>45990</v>
      </c>
      <c r="D116" s="182" t="s">
        <v>145</v>
      </c>
      <c r="E116" s="182" t="s">
        <v>381</v>
      </c>
      <c r="F116" s="182" t="s">
        <v>129</v>
      </c>
      <c r="G116" s="182"/>
      <c r="H116" s="183"/>
      <c r="I116" s="183">
        <v>3900</v>
      </c>
      <c r="J116" s="184">
        <f>SUM('Mazda 6'!B3:B16)</f>
        <v>499.21</v>
      </c>
      <c r="K116" s="52">
        <f>SUM(H116:J116)</f>
        <v>4399.21</v>
      </c>
      <c r="L116" s="183">
        <v>7250</v>
      </c>
      <c r="M116" s="52">
        <f>L116-SUM(I116:J116)</f>
        <v>2850.79</v>
      </c>
      <c r="N116" s="179"/>
    </row>
    <row r="117" ht="26.25" customHeight="1" spans="2:14" x14ac:dyDescent="0.25">
      <c r="B117" s="169">
        <v>45962</v>
      </c>
      <c r="C117" s="149">
        <v>45991</v>
      </c>
      <c r="D117" s="182" t="s">
        <v>147</v>
      </c>
      <c r="E117" s="182" t="s">
        <v>148</v>
      </c>
      <c r="F117" s="182"/>
      <c r="G117" s="158" t="s">
        <v>350</v>
      </c>
      <c r="H117" s="183">
        <v>800</v>
      </c>
      <c r="I117" s="183"/>
      <c r="J117" s="184">
        <f>SUM('Audi A3 HG08 EPZ'!B3:B21)</f>
        <v>8</v>
      </c>
      <c r="K117" s="184"/>
      <c r="L117" s="183">
        <v>1995</v>
      </c>
      <c r="M117" s="52">
        <f>L117-SUM(I117:J117)</f>
        <v>1987</v>
      </c>
      <c r="N117" s="179"/>
    </row>
    <row r="118" ht="26.25" customHeight="1" spans="2:14" x14ac:dyDescent="0.25">
      <c r="B118" s="80">
        <v>45962</v>
      </c>
      <c r="C118" s="166"/>
      <c r="D118" s="185"/>
      <c r="E118" s="185"/>
      <c r="F118" s="185"/>
      <c r="G118" s="185"/>
      <c r="H118" s="105"/>
      <c r="I118" s="105"/>
      <c r="J118" s="185"/>
      <c r="K118" s="185"/>
      <c r="L118" s="105"/>
      <c r="M118" s="185"/>
      <c r="N118" s="186"/>
    </row>
    <row r="119" ht="26.25" customHeight="1" spans="2:14" x14ac:dyDescent="0.25">
      <c r="B119" s="187">
        <v>45992</v>
      </c>
      <c r="C119" s="149">
        <v>45807</v>
      </c>
      <c r="D119" s="150" t="s">
        <v>161</v>
      </c>
      <c r="E119" s="158" t="s">
        <v>162</v>
      </c>
      <c r="F119" s="158" t="s">
        <v>107</v>
      </c>
      <c r="G119" s="158" t="s">
        <v>347</v>
      </c>
      <c r="H119" s="133"/>
      <c r="I119" s="133">
        <v>2000</v>
      </c>
      <c r="J119" s="52">
        <f>SUM('Nissan Navara WD63 NXU'!B3:B116)</f>
        <v>4737.99</v>
      </c>
      <c r="K119" s="52">
        <f>SUM(I119:J119)</f>
        <v>6737.99</v>
      </c>
      <c r="L119" s="133">
        <v>9994</v>
      </c>
      <c r="M119" s="52">
        <f>Table12[[#This Row],[Sold]]-Table12[[#This Row],[Total Cost]]</f>
        <v>3256.01</v>
      </c>
      <c r="N119" s="151" t="s">
        <v>29</v>
      </c>
    </row>
    <row r="120" ht="26.25" customHeight="1" spans="2:14" x14ac:dyDescent="0.25">
      <c r="B120" s="187">
        <v>45992</v>
      </c>
      <c r="C120" s="149">
        <v>45873</v>
      </c>
      <c r="D120" s="150" t="s">
        <v>139</v>
      </c>
      <c r="E120" s="158" t="s">
        <v>70</v>
      </c>
      <c r="F120" s="158" t="s">
        <v>113</v>
      </c>
      <c r="G120" s="158" t="s">
        <v>347</v>
      </c>
      <c r="H120" s="133"/>
      <c r="I120" s="133">
        <v>2250</v>
      </c>
      <c r="J120" s="52">
        <f>SUM('Ford Fiesta EA65 NDL'!B3:B30)</f>
        <v>1306.61</v>
      </c>
      <c r="K120" s="52">
        <f>SUM(I120:J120)</f>
        <v>3556.6099999999997</v>
      </c>
      <c r="L120" s="133">
        <v>3815</v>
      </c>
      <c r="M120" s="52">
        <f>L120-SUM(I120:J120)</f>
        <v>258.3900000000003</v>
      </c>
      <c r="N120" s="179" t="s">
        <v>29</v>
      </c>
    </row>
    <row r="121" ht="26.25" customHeight="1" spans="2:14" x14ac:dyDescent="0.25">
      <c r="B121" s="188">
        <v>45992</v>
      </c>
      <c r="C121" s="144">
        <v>45983</v>
      </c>
      <c r="D121" s="44" t="s">
        <v>181</v>
      </c>
      <c r="E121" s="77" t="s">
        <v>182</v>
      </c>
      <c r="F121" s="77" t="s">
        <v>125</v>
      </c>
      <c r="G121" s="77" t="s">
        <v>359</v>
      </c>
      <c r="H121" s="95"/>
      <c r="I121" s="95">
        <v>4000</v>
      </c>
      <c r="J121" s="45">
        <f>SUM('Polo BlueGT CE65 MJJ'!B3:B57)</f>
        <v>783.3200000000002</v>
      </c>
      <c r="K121" s="45">
        <f>SUM(H121:J121)</f>
        <v>4783.32</v>
      </c>
      <c r="L121" s="95"/>
      <c r="M121" s="77"/>
      <c r="N121" s="174"/>
    </row>
    <row r="122" ht="26.25" customHeight="1" spans="2:14" x14ac:dyDescent="0.25">
      <c r="B122" s="187">
        <v>45992</v>
      </c>
      <c r="C122" s="149">
        <v>45980</v>
      </c>
      <c r="D122" s="150" t="s">
        <v>144</v>
      </c>
      <c r="E122" s="158" t="s">
        <v>122</v>
      </c>
      <c r="F122" s="158" t="s">
        <v>106</v>
      </c>
      <c r="G122" s="158" t="s">
        <v>359</v>
      </c>
      <c r="H122" s="133"/>
      <c r="I122" s="133">
        <f>4000</f>
        <v>4000</v>
      </c>
      <c r="J122" s="52">
        <f>SUM('Fiat 500 CX14 PVO'!B3:B53)</f>
        <v>818.1433333333333</v>
      </c>
      <c r="K122" s="52">
        <f>SUM(H122:J122)</f>
        <v>4818.143333333333</v>
      </c>
      <c r="L122" s="133">
        <v>5995</v>
      </c>
      <c r="M122" s="52">
        <f>L122-SUM(I122:J122)</f>
        <v>1176.8566666666666</v>
      </c>
      <c r="N122" s="179" t="s">
        <v>29</v>
      </c>
    </row>
    <row r="123" ht="26.25" customHeight="1" spans="2:14" x14ac:dyDescent="0.25">
      <c r="B123" s="187">
        <v>45992</v>
      </c>
      <c r="C123" s="149">
        <v>45991</v>
      </c>
      <c r="D123" s="182" t="s">
        <v>147</v>
      </c>
      <c r="E123" s="182" t="s">
        <v>148</v>
      </c>
      <c r="F123" s="182" t="s">
        <v>107</v>
      </c>
      <c r="G123" s="158" t="s">
        <v>350</v>
      </c>
      <c r="H123" s="183">
        <v>800</v>
      </c>
      <c r="I123" s="183"/>
      <c r="J123" s="184">
        <f>SUM('Audi A3 HG08 EPZ'!B3:B42)</f>
        <v>8</v>
      </c>
      <c r="K123" s="52">
        <f>SUM(H123:J123)</f>
        <v>808</v>
      </c>
      <c r="L123" s="133">
        <v>1995</v>
      </c>
      <c r="M123" s="52">
        <f>L123-SUM(I123:J123)</f>
        <v>1987</v>
      </c>
      <c r="N123" s="179" t="s">
        <v>29</v>
      </c>
    </row>
    <row r="124" ht="26.25" customHeight="1" spans="2:14" x14ac:dyDescent="0.25">
      <c r="B124" s="188">
        <v>45992</v>
      </c>
      <c r="C124" s="144">
        <v>45976</v>
      </c>
      <c r="D124" s="44" t="s">
        <v>164</v>
      </c>
      <c r="E124" s="77" t="s">
        <v>86</v>
      </c>
      <c r="F124" s="77" t="s">
        <v>107</v>
      </c>
      <c r="G124" s="77" t="s">
        <v>350</v>
      </c>
      <c r="H124" s="95">
        <v>700</v>
      </c>
      <c r="I124" s="109"/>
      <c r="J124" s="45">
        <f>SUM('Polo HG57'!B3:B46)</f>
        <v>783.6099999999999</v>
      </c>
      <c r="K124" s="45">
        <f>SUM(H124:J124)</f>
        <v>1483.61</v>
      </c>
      <c r="L124" s="95">
        <v>2950</v>
      </c>
      <c r="M124" s="78"/>
      <c r="N124" s="174" t="s">
        <v>29</v>
      </c>
    </row>
    <row r="125" ht="26.25" customHeight="1" spans="2:14" x14ac:dyDescent="0.25">
      <c r="B125" s="187">
        <v>45992</v>
      </c>
      <c r="C125" s="149">
        <v>45970</v>
      </c>
      <c r="D125" s="150" t="s">
        <v>378</v>
      </c>
      <c r="E125" s="158" t="s">
        <v>86</v>
      </c>
      <c r="F125" s="158" t="s">
        <v>113</v>
      </c>
      <c r="G125" s="158" t="s">
        <v>359</v>
      </c>
      <c r="H125" s="133"/>
      <c r="I125" s="133">
        <v>4252.51</v>
      </c>
      <c r="J125" s="52">
        <f>SUM('Volkswagen Polo JFZ 1824'!B3:B62)</f>
        <v>643.2900000000001</v>
      </c>
      <c r="K125" s="52">
        <f>SUM(I125:J125)</f>
        <v>4895.8</v>
      </c>
      <c r="L125" s="133">
        <v>7295</v>
      </c>
      <c r="M125" s="52">
        <f>Table12[[#This Row],[Sold]]-Table12[[#This Row],[Total Cost]]</f>
        <v>2399.2</v>
      </c>
      <c r="N125" s="179" t="s">
        <v>29</v>
      </c>
    </row>
    <row r="126" ht="26.25" customHeight="1" spans="2:14" x14ac:dyDescent="0.25">
      <c r="B126" s="188">
        <v>45992</v>
      </c>
      <c r="C126" s="144">
        <v>45965</v>
      </c>
      <c r="D126" s="44" t="s">
        <v>177</v>
      </c>
      <c r="E126" s="77" t="s">
        <v>178</v>
      </c>
      <c r="F126" s="77" t="s">
        <v>135</v>
      </c>
      <c r="G126" s="77" t="s">
        <v>359</v>
      </c>
      <c r="H126" s="95"/>
      <c r="I126" s="95">
        <f>4250</f>
        <v>4250</v>
      </c>
      <c r="J126" s="45">
        <f>SUM('Nissan Qashqai KM17 YTV'!B3:B55)</f>
        <v>4111.51</v>
      </c>
      <c r="K126" s="45">
        <f>SUM(I126:J126)</f>
        <v>8361.51</v>
      </c>
      <c r="L126" s="109"/>
      <c r="M126" s="45"/>
      <c r="N126" s="84"/>
    </row>
    <row r="127" ht="26.25" customHeight="1" spans="2:14" x14ac:dyDescent="0.25">
      <c r="B127" s="188">
        <v>45992</v>
      </c>
      <c r="C127" s="144">
        <v>45989</v>
      </c>
      <c r="D127" s="44" t="s">
        <v>185</v>
      </c>
      <c r="E127" s="77" t="s">
        <v>186</v>
      </c>
      <c r="F127" s="77" t="s">
        <v>113</v>
      </c>
      <c r="G127" s="77" t="s">
        <v>359</v>
      </c>
      <c r="H127" s="95"/>
      <c r="I127" s="95">
        <v>4650</v>
      </c>
      <c r="J127" s="45">
        <f>SUM('Honda CRV KU13 FBF'!B3:B61)</f>
        <v>1082.32</v>
      </c>
      <c r="K127" s="45">
        <f>SUM(H127:J127)</f>
        <v>5732.32</v>
      </c>
      <c r="L127" s="95"/>
      <c r="M127" s="77"/>
      <c r="N127" s="174"/>
    </row>
    <row r="128" ht="26.25" customHeight="1" spans="2:14" x14ac:dyDescent="0.25">
      <c r="B128" s="187">
        <v>45992</v>
      </c>
      <c r="C128" s="149">
        <v>45985</v>
      </c>
      <c r="D128" s="150" t="s">
        <v>152</v>
      </c>
      <c r="E128" s="158" t="s">
        <v>380</v>
      </c>
      <c r="F128" s="158" t="s">
        <v>107</v>
      </c>
      <c r="G128" s="158" t="s">
        <v>377</v>
      </c>
      <c r="H128" s="133"/>
      <c r="I128" s="133">
        <v>2100</v>
      </c>
      <c r="J128" s="52">
        <f>SUM('Peugot 107 LN11 '!B3:B54)</f>
        <v>471.2166666666667</v>
      </c>
      <c r="K128" s="52">
        <f>SUM(H128:J128)</f>
        <v>2571.2166666666667</v>
      </c>
      <c r="L128" s="133">
        <v>3500</v>
      </c>
      <c r="M128" s="52">
        <f>L128-SUM(I128:J128)</f>
        <v>928.7833333333333</v>
      </c>
      <c r="N128" s="179" t="s">
        <v>29</v>
      </c>
    </row>
    <row r="129" ht="26.25" customHeight="1" spans="2:14" x14ac:dyDescent="0.25">
      <c r="B129" s="187">
        <v>45992</v>
      </c>
      <c r="C129" s="149">
        <v>45980</v>
      </c>
      <c r="D129" s="150" t="s">
        <v>141</v>
      </c>
      <c r="E129" s="158" t="s">
        <v>142</v>
      </c>
      <c r="F129" s="158" t="s">
        <v>113</v>
      </c>
      <c r="G129" s="158" t="s">
        <v>359</v>
      </c>
      <c r="H129" s="133"/>
      <c r="I129" s="133">
        <f>4750</f>
        <v>4750</v>
      </c>
      <c r="J129" s="52">
        <f>SUM('Golf Match LR15 EUT'!B3:B53)</f>
        <v>498.40333333333336</v>
      </c>
      <c r="K129" s="52">
        <f>SUM(H129:J129)</f>
        <v>5248.403333333334</v>
      </c>
      <c r="L129" s="133">
        <v>7495</v>
      </c>
      <c r="M129" s="52">
        <f>L129-SUM(I129:J129)</f>
        <v>2246.5966666666664</v>
      </c>
      <c r="N129" s="179" t="s">
        <v>29</v>
      </c>
    </row>
    <row r="130" ht="26.25" customHeight="1" spans="2:14" x14ac:dyDescent="0.25">
      <c r="B130" s="188">
        <v>45992</v>
      </c>
      <c r="C130" s="144">
        <v>45975</v>
      </c>
      <c r="D130" s="44" t="s">
        <v>176</v>
      </c>
      <c r="E130" s="77" t="s">
        <v>131</v>
      </c>
      <c r="F130" s="77" t="s">
        <v>129</v>
      </c>
      <c r="G130" s="77" t="s">
        <v>359</v>
      </c>
      <c r="H130" s="95"/>
      <c r="I130" s="95">
        <v>3500</v>
      </c>
      <c r="J130" s="45">
        <f>SUM('Audi A1 MF12'!B3:B57)</f>
        <v>890.79</v>
      </c>
      <c r="K130" s="45">
        <f>SUM(I130:J130)</f>
        <v>4390.79</v>
      </c>
      <c r="L130" s="109"/>
      <c r="M130" s="78"/>
      <c r="N130" s="84"/>
    </row>
    <row r="131" ht="26.25" customHeight="1" spans="2:14" x14ac:dyDescent="0.25">
      <c r="B131" s="188">
        <v>45992</v>
      </c>
      <c r="C131" s="144">
        <v>45989</v>
      </c>
      <c r="D131" s="122" t="s">
        <v>238</v>
      </c>
      <c r="E131" s="122" t="s">
        <v>239</v>
      </c>
      <c r="F131" s="122" t="s">
        <v>107</v>
      </c>
      <c r="G131" s="77" t="s">
        <v>359</v>
      </c>
      <c r="H131" s="101"/>
      <c r="I131" s="101">
        <v>3200</v>
      </c>
      <c r="J131" s="180">
        <f>SUM('Polo MF14 TUH'!B3:B57)</f>
        <v>1701.89</v>
      </c>
      <c r="K131" s="45">
        <f>SUM(H131:J131)</f>
        <v>4901.89</v>
      </c>
      <c r="L131" s="101"/>
      <c r="M131" s="180"/>
      <c r="N131" s="181"/>
    </row>
    <row r="132" ht="26.25" customHeight="1" spans="2:14" x14ac:dyDescent="0.25">
      <c r="B132" s="187">
        <v>45992</v>
      </c>
      <c r="C132" s="149">
        <v>45990</v>
      </c>
      <c r="D132" s="182" t="s">
        <v>145</v>
      </c>
      <c r="E132" s="182" t="s">
        <v>146</v>
      </c>
      <c r="F132" s="182" t="s">
        <v>129</v>
      </c>
      <c r="G132" s="182" t="s">
        <v>359</v>
      </c>
      <c r="H132" s="183"/>
      <c r="I132" s="183">
        <v>3900</v>
      </c>
      <c r="J132" s="184">
        <f>SUM('Mazda 6'!B3:B37)</f>
        <v>499.21</v>
      </c>
      <c r="K132" s="52">
        <f>SUM(H132:J132)</f>
        <v>4399.21</v>
      </c>
      <c r="L132" s="133">
        <v>7250</v>
      </c>
      <c r="M132" s="52">
        <f>L132-SUM(I132:J132)</f>
        <v>2850.79</v>
      </c>
      <c r="N132" s="179" t="s">
        <v>29</v>
      </c>
    </row>
    <row r="133" ht="26.25" customHeight="1" spans="2:14" x14ac:dyDescent="0.25">
      <c r="B133" s="188">
        <v>45992</v>
      </c>
      <c r="C133" s="144">
        <v>45985</v>
      </c>
      <c r="D133" s="44" t="s">
        <v>196</v>
      </c>
      <c r="E133" s="77" t="s">
        <v>197</v>
      </c>
      <c r="F133" s="77" t="s">
        <v>110</v>
      </c>
      <c r="G133" s="77" t="s">
        <v>377</v>
      </c>
      <c r="H133" s="95"/>
      <c r="I133" s="95">
        <v>2625</v>
      </c>
      <c r="J133" s="45">
        <f>SUM('Jaguar XF OY61 UTH'!B4:B53)</f>
        <v>543.1366666666668</v>
      </c>
      <c r="K133" s="45">
        <f>SUM(H133:J133)</f>
        <v>3168.1366666666668</v>
      </c>
      <c r="L133" s="95"/>
      <c r="M133" s="77"/>
      <c r="N133" s="174"/>
    </row>
    <row r="134" ht="26.25" customHeight="1" spans="2:14" x14ac:dyDescent="0.25">
      <c r="B134" s="188">
        <v>45992</v>
      </c>
      <c r="C134" s="144">
        <v>45977</v>
      </c>
      <c r="D134" s="44" t="s">
        <v>169</v>
      </c>
      <c r="E134" s="77" t="s">
        <v>170</v>
      </c>
      <c r="F134" s="77" t="s">
        <v>113</v>
      </c>
      <c r="G134" s="77" t="s">
        <v>359</v>
      </c>
      <c r="H134" s="95"/>
      <c r="I134" s="95">
        <f>4350</f>
        <v>4350</v>
      </c>
      <c r="J134" s="45">
        <f>SUM('Audi S5 SP08 KLX '!B3:B50)</f>
        <v>1144.4599999999998</v>
      </c>
      <c r="K134" s="45">
        <f>SUM(H134:J134)</f>
        <v>5494.46</v>
      </c>
      <c r="L134" s="95"/>
      <c r="M134" s="77"/>
      <c r="N134" s="174"/>
    </row>
    <row r="135" ht="26.25" customHeight="1" spans="2:14" x14ac:dyDescent="0.25">
      <c r="B135" s="188">
        <v>45992</v>
      </c>
      <c r="C135" s="144">
        <v>45980</v>
      </c>
      <c r="D135" s="44" t="s">
        <v>165</v>
      </c>
      <c r="E135" s="77" t="s">
        <v>166</v>
      </c>
      <c r="F135" s="77" t="s">
        <v>125</v>
      </c>
      <c r="G135" s="77" t="s">
        <v>359</v>
      </c>
      <c r="H135" s="95"/>
      <c r="I135" s="95">
        <f>4000</f>
        <v>4000</v>
      </c>
      <c r="J135" s="45">
        <f>SUM('Kuga VX15 DYU'!B3:B54)</f>
        <v>1602.543333333333</v>
      </c>
      <c r="K135" s="45">
        <f>SUM(H135:J135)</f>
        <v>5602.543333333333</v>
      </c>
      <c r="L135" s="95"/>
      <c r="M135" s="77"/>
      <c r="N135" s="174"/>
    </row>
    <row r="136" ht="26.25" customHeight="1" spans="2:14" x14ac:dyDescent="0.25">
      <c r="B136" s="188">
        <v>45992</v>
      </c>
      <c r="C136" s="144">
        <v>45960</v>
      </c>
      <c r="D136" s="44" t="s">
        <v>171</v>
      </c>
      <c r="E136" s="77" t="s">
        <v>122</v>
      </c>
      <c r="F136" s="77" t="s">
        <v>107</v>
      </c>
      <c r="G136" s="77" t="s">
        <v>359</v>
      </c>
      <c r="H136" s="95"/>
      <c r="I136" s="95">
        <v>1400</v>
      </c>
      <c r="J136" s="45">
        <f>SUM('Fiat 500 WM63 XCE Grey'!B3:B45)</f>
        <v>1239.2800000000002</v>
      </c>
      <c r="K136" s="45">
        <f t="shared" ref="K136:K145" si="9">SUM(I136:J136)</f>
        <v>2639.28</v>
      </c>
      <c r="L136" s="109"/>
      <c r="M136" s="45"/>
      <c r="N136" s="84"/>
    </row>
    <row r="137" ht="26.25" customHeight="1" spans="2:14" x14ac:dyDescent="0.25">
      <c r="B137" s="188">
        <v>45992</v>
      </c>
      <c r="C137" s="144">
        <v>45975</v>
      </c>
      <c r="D137" s="44" t="s">
        <v>195</v>
      </c>
      <c r="E137" s="77" t="s">
        <v>122</v>
      </c>
      <c r="F137" s="77" t="s">
        <v>110</v>
      </c>
      <c r="G137" s="77" t="s">
        <v>359</v>
      </c>
      <c r="H137" s="95"/>
      <c r="I137" s="95">
        <v>3500</v>
      </c>
      <c r="J137" s="45">
        <f>SUM('Fiat 500 YB65 XPP'!B3:B62)</f>
        <v>779.18</v>
      </c>
      <c r="K137" s="45">
        <f t="shared" si="9"/>
        <v>4279.18</v>
      </c>
      <c r="L137" s="109"/>
      <c r="M137" s="78"/>
      <c r="N137" s="84"/>
    </row>
    <row r="138" ht="26.25" customHeight="1" spans="2:14" x14ac:dyDescent="0.25">
      <c r="B138" s="188">
        <v>45992</v>
      </c>
      <c r="C138" s="144">
        <v>45993</v>
      </c>
      <c r="D138" s="44" t="s">
        <v>198</v>
      </c>
      <c r="E138" s="77" t="s">
        <v>199</v>
      </c>
      <c r="F138" s="77" t="s">
        <v>110</v>
      </c>
      <c r="G138" s="77" t="s">
        <v>377</v>
      </c>
      <c r="H138" s="95"/>
      <c r="I138" s="95">
        <v>4050</v>
      </c>
      <c r="J138" s="45">
        <v>346.8</v>
      </c>
      <c r="K138" s="45">
        <f t="shared" si="9"/>
        <v>4396.8</v>
      </c>
      <c r="L138" s="109"/>
      <c r="M138" s="78"/>
      <c r="N138" s="84"/>
    </row>
    <row r="139" ht="26.25" customHeight="1" spans="2:14" x14ac:dyDescent="0.25">
      <c r="B139" s="187">
        <v>45992</v>
      </c>
      <c r="C139" s="149">
        <v>45996</v>
      </c>
      <c r="D139" s="150" t="s">
        <v>382</v>
      </c>
      <c r="E139" s="158" t="s">
        <v>49</v>
      </c>
      <c r="F139" s="158" t="s">
        <v>125</v>
      </c>
      <c r="G139" s="158" t="s">
        <v>359</v>
      </c>
      <c r="H139" s="133"/>
      <c r="I139" s="133">
        <v>5750</v>
      </c>
      <c r="J139" s="52">
        <f>SUM('BMW SX14 KKH'!B3:B154)</f>
        <v>897.9000000000001</v>
      </c>
      <c r="K139" s="52">
        <f t="shared" si="9"/>
        <v>6647.9</v>
      </c>
      <c r="L139" s="133">
        <v>9050</v>
      </c>
      <c r="M139" s="52">
        <f>Table12[[#This Row],[Sold]]-Table12[[#This Row],[Total Cost]]</f>
        <v>2402.1000000000004</v>
      </c>
      <c r="N139" s="179" t="s">
        <v>29</v>
      </c>
    </row>
    <row r="140" ht="25" customHeight="1" spans="2:14" x14ac:dyDescent="0.25">
      <c r="B140" s="189">
        <v>45992</v>
      </c>
      <c r="C140" s="144">
        <v>45999</v>
      </c>
      <c r="D140" s="44" t="s">
        <v>167</v>
      </c>
      <c r="E140" s="77" t="s">
        <v>168</v>
      </c>
      <c r="F140" s="77" t="s">
        <v>129</v>
      </c>
      <c r="G140" s="77" t="s">
        <v>377</v>
      </c>
      <c r="H140" s="95"/>
      <c r="I140" s="95">
        <v>5000</v>
      </c>
      <c r="J140" s="45">
        <f>SUM('BMW GT SV63 KKO'!B3:B52)</f>
        <v>1270.6799999999998</v>
      </c>
      <c r="K140" s="45">
        <f t="shared" si="9"/>
        <v>6270.68</v>
      </c>
      <c r="L140" s="95"/>
      <c r="M140" s="77"/>
      <c r="N140" s="174"/>
    </row>
    <row r="141" ht="25" customHeight="1" spans="2:14" x14ac:dyDescent="0.25">
      <c r="B141" s="187">
        <v>45992</v>
      </c>
      <c r="C141" s="149">
        <v>46000</v>
      </c>
      <c r="D141" s="150" t="s">
        <v>383</v>
      </c>
      <c r="E141" s="158" t="s">
        <v>156</v>
      </c>
      <c r="F141" s="158" t="s">
        <v>129</v>
      </c>
      <c r="G141" s="158" t="s">
        <v>377</v>
      </c>
      <c r="H141" s="133"/>
      <c r="I141" s="133">
        <v>4000</v>
      </c>
      <c r="J141" s="52">
        <f>SUM('Polo GT CV65'!B3:B23)</f>
        <v>528.8000000000001</v>
      </c>
      <c r="K141" s="52">
        <f t="shared" si="9"/>
        <v>4528.8</v>
      </c>
      <c r="L141" s="133">
        <v>6595</v>
      </c>
      <c r="M141" s="52">
        <f>Table12[[#This Row],[Sold]]-Table12[[#This Row],[Total Cost]]</f>
        <v>2066.2</v>
      </c>
      <c r="N141" s="179" t="s">
        <v>29</v>
      </c>
    </row>
    <row r="142" ht="25" customHeight="1" spans="2:14" x14ac:dyDescent="0.25">
      <c r="B142" s="189">
        <v>45992</v>
      </c>
      <c r="C142" s="144">
        <v>46000</v>
      </c>
      <c r="D142" s="44" t="s">
        <v>187</v>
      </c>
      <c r="E142" s="77" t="s">
        <v>119</v>
      </c>
      <c r="F142" s="77" t="s">
        <v>106</v>
      </c>
      <c r="G142" s="77" t="s">
        <v>359</v>
      </c>
      <c r="H142" s="95"/>
      <c r="I142" s="95">
        <v>1200</v>
      </c>
      <c r="J142" s="45">
        <f>SUM('Nissan Note RV62 UMD'!B3:B20)</f>
        <v>1650.71</v>
      </c>
      <c r="K142" s="45">
        <f t="shared" si="9"/>
        <v>2850.71</v>
      </c>
      <c r="L142" s="95"/>
      <c r="M142" s="77"/>
      <c r="N142" s="174"/>
    </row>
    <row r="143" ht="25" customHeight="1" spans="2:14" x14ac:dyDescent="0.25">
      <c r="B143" s="189">
        <v>45992</v>
      </c>
      <c r="C143" s="190">
        <v>46003</v>
      </c>
      <c r="D143" s="115" t="s">
        <v>384</v>
      </c>
      <c r="E143" s="191" t="s">
        <v>385</v>
      </c>
      <c r="F143" s="191" t="s">
        <v>125</v>
      </c>
      <c r="G143" s="191" t="s">
        <v>377</v>
      </c>
      <c r="H143" s="95"/>
      <c r="I143" s="116">
        <v>5000</v>
      </c>
      <c r="J143" s="128">
        <f>SUM('Audi A7 OV61 WKH'!B3:B77)</f>
        <v>2573.46</v>
      </c>
      <c r="K143" s="45">
        <f t="shared" si="9"/>
        <v>7573.46</v>
      </c>
      <c r="L143" s="95"/>
      <c r="M143" s="77"/>
      <c r="N143" s="174"/>
    </row>
    <row r="144" ht="25" customHeight="1" spans="2:14" x14ac:dyDescent="0.25">
      <c r="B144" s="187">
        <v>45992</v>
      </c>
      <c r="C144" s="192">
        <v>46003</v>
      </c>
      <c r="D144" s="193" t="s">
        <v>149</v>
      </c>
      <c r="E144" s="194" t="s">
        <v>150</v>
      </c>
      <c r="F144" s="194" t="s">
        <v>107</v>
      </c>
      <c r="G144" s="194" t="s">
        <v>377</v>
      </c>
      <c r="H144" s="133"/>
      <c r="I144" s="195">
        <v>3535</v>
      </c>
      <c r="J144" s="196">
        <f>SUM('Fiat 500 LM64 FWU'!B3:B33)</f>
        <v>195.74</v>
      </c>
      <c r="K144" s="52">
        <f t="shared" si="9"/>
        <v>3730.74</v>
      </c>
      <c r="L144" s="133">
        <v>5400</v>
      </c>
      <c r="M144" s="52">
        <f>L144-SUM(I144:J144)</f>
        <v>1669.2600000000002</v>
      </c>
      <c r="N144" s="179" t="s">
        <v>29</v>
      </c>
    </row>
    <row r="145" ht="25" customHeight="1" spans="2:14" x14ac:dyDescent="0.25">
      <c r="B145" s="189">
        <v>45992</v>
      </c>
      <c r="C145" s="144">
        <v>46006</v>
      </c>
      <c r="D145" s="44" t="s">
        <v>203</v>
      </c>
      <c r="E145" s="77" t="s">
        <v>148</v>
      </c>
      <c r="F145" s="77" t="s">
        <v>129</v>
      </c>
      <c r="G145" s="77" t="s">
        <v>359</v>
      </c>
      <c r="H145" s="95"/>
      <c r="I145" s="95">
        <v>5500</v>
      </c>
      <c r="J145" s="45">
        <f>SUM('Audi A3 LG61 RTV'!B3:B23)</f>
        <v>993.7</v>
      </c>
      <c r="K145" s="45">
        <f t="shared" si="9"/>
        <v>6493.7</v>
      </c>
      <c r="L145" s="95"/>
      <c r="M145" s="77"/>
      <c r="N145" s="174"/>
    </row>
    <row r="146" ht="25" customHeight="1" spans="2:14" x14ac:dyDescent="0.25">
      <c r="B146" s="189">
        <v>45992</v>
      </c>
      <c r="C146" s="144">
        <v>46007</v>
      </c>
      <c r="D146" s="44" t="s">
        <v>235</v>
      </c>
      <c r="E146" s="77" t="s">
        <v>122</v>
      </c>
      <c r="F146" s="77" t="s">
        <v>107</v>
      </c>
      <c r="G146" s="77" t="s">
        <v>359</v>
      </c>
      <c r="H146" s="95"/>
      <c r="I146" s="95">
        <v>900</v>
      </c>
      <c r="J146" s="45">
        <f>'Fiat 500 LK15'!E1-'Fiat 500 LK15'!B2</f>
        <v>3114.6099999999997</v>
      </c>
      <c r="K146" s="45">
        <f>Table12[[#This Row],[Reconditioning costs]]+Table12[[#This Row],[Price]]</f>
        <v>4014.6099999999997</v>
      </c>
      <c r="L146" s="95"/>
      <c r="M146" s="77"/>
      <c r="N146" s="174"/>
    </row>
    <row r="147" ht="25" customHeight="1" spans="2:14" x14ac:dyDescent="0.25">
      <c r="B147" s="189">
        <v>45992</v>
      </c>
      <c r="C147" s="144">
        <v>46022</v>
      </c>
      <c r="D147" s="44" t="s">
        <v>225</v>
      </c>
      <c r="E147" s="77" t="s">
        <v>226</v>
      </c>
      <c r="F147" s="77" t="s">
        <v>129</v>
      </c>
      <c r="G147" s="77" t="s">
        <v>359</v>
      </c>
      <c r="H147" s="95"/>
      <c r="I147" s="95">
        <v>5200</v>
      </c>
      <c r="J147" s="45">
        <f>SUM('Mitsubishi DN16 YXF'!B3:B30)</f>
        <v>1297.8799999999999</v>
      </c>
      <c r="K147" s="45">
        <f>Table12[[#This Row],[Reconditioning costs]]+Table12[[#This Row],[Price]]</f>
        <v>6497.88</v>
      </c>
      <c r="L147" s="95"/>
      <c r="M147" s="77"/>
      <c r="N147" s="174"/>
    </row>
    <row r="148" ht="25" customHeight="1" spans="2:14" x14ac:dyDescent="0.25">
      <c r="B148" s="197">
        <v>45992</v>
      </c>
      <c r="C148" s="166"/>
      <c r="D148" s="71"/>
      <c r="E148" s="72"/>
      <c r="F148" s="72"/>
      <c r="G148" s="72"/>
      <c r="H148" s="104"/>
      <c r="I148" s="104"/>
      <c r="J148" s="58"/>
      <c r="K148" s="72"/>
      <c r="L148" s="104"/>
      <c r="M148" s="72"/>
      <c r="N148" s="186"/>
    </row>
    <row r="149" ht="25" customHeight="1" spans="2:14" x14ac:dyDescent="0.25">
      <c r="B149" s="198">
        <v>46023</v>
      </c>
      <c r="C149" s="149">
        <v>45983</v>
      </c>
      <c r="D149" s="158" t="s">
        <v>181</v>
      </c>
      <c r="E149" s="158" t="s">
        <v>182</v>
      </c>
      <c r="F149" s="158" t="s">
        <v>125</v>
      </c>
      <c r="G149" s="158" t="s">
        <v>359</v>
      </c>
      <c r="H149" s="133"/>
      <c r="I149" s="133">
        <v>4000</v>
      </c>
      <c r="J149" s="133">
        <f>SUM('Polo BlueGT CE65 MJJ'!B3:B85)</f>
        <v>783.3200000000002</v>
      </c>
      <c r="K149" s="52">
        <f>SUM(H149:J149)</f>
        <v>4783.32</v>
      </c>
      <c r="L149" s="133">
        <v>6995</v>
      </c>
      <c r="M149" s="52">
        <f>L149-SUM(I149:J149)</f>
        <v>2211.6800000000003</v>
      </c>
      <c r="N149" s="151" t="s">
        <v>29</v>
      </c>
    </row>
    <row r="150" ht="25" customHeight="1" spans="2:14" x14ac:dyDescent="0.25">
      <c r="B150" s="198">
        <v>46023</v>
      </c>
      <c r="C150" s="149">
        <v>45965</v>
      </c>
      <c r="D150" s="150" t="s">
        <v>177</v>
      </c>
      <c r="E150" s="158" t="s">
        <v>178</v>
      </c>
      <c r="F150" s="158" t="s">
        <v>107</v>
      </c>
      <c r="G150" s="158" t="s">
        <v>359</v>
      </c>
      <c r="H150" s="133">
        <v>1500</v>
      </c>
      <c r="I150" s="133">
        <f>4250</f>
        <v>4250</v>
      </c>
      <c r="J150" s="133">
        <f>SUM('Nissan Qashqai KM17 YTV'!B3:B79)</f>
        <v>4111.51</v>
      </c>
      <c r="K150" s="52">
        <f>SUM(I150:J150)</f>
        <v>8361.51</v>
      </c>
      <c r="L150" s="133">
        <v>8295</v>
      </c>
      <c r="M150" s="52">
        <f>L150-SUM(I150:J150)</f>
        <v>-66.51000000000022</v>
      </c>
      <c r="N150" s="151" t="s">
        <v>29</v>
      </c>
    </row>
    <row r="151" ht="25" customHeight="1" spans="2:14" x14ac:dyDescent="0.25">
      <c r="B151" s="199">
        <v>46023</v>
      </c>
      <c r="C151" s="144">
        <v>45989</v>
      </c>
      <c r="D151" s="44" t="s">
        <v>185</v>
      </c>
      <c r="E151" s="77" t="s">
        <v>186</v>
      </c>
      <c r="F151" s="77" t="s">
        <v>113</v>
      </c>
      <c r="G151" s="77" t="s">
        <v>359</v>
      </c>
      <c r="H151" s="95"/>
      <c r="I151" s="95">
        <v>4650</v>
      </c>
      <c r="J151" s="95">
        <f>SUM('Honda CRV KU13 FBF'!B3:B85)</f>
        <v>1082.32</v>
      </c>
      <c r="K151" s="45">
        <f>SUM(H151:J151)</f>
        <v>5732.32</v>
      </c>
      <c r="L151" s="95"/>
      <c r="M151" s="77"/>
      <c r="N151" s="174"/>
    </row>
    <row r="152" ht="25" customHeight="1" spans="2:14" x14ac:dyDescent="0.25">
      <c r="B152" s="198">
        <v>46023</v>
      </c>
      <c r="C152" s="149">
        <v>45975</v>
      </c>
      <c r="D152" s="150" t="s">
        <v>176</v>
      </c>
      <c r="E152" s="158" t="s">
        <v>131</v>
      </c>
      <c r="F152" s="158" t="s">
        <v>129</v>
      </c>
      <c r="G152" s="158" t="s">
        <v>359</v>
      </c>
      <c r="H152" s="133"/>
      <c r="I152" s="133">
        <v>3500</v>
      </c>
      <c r="J152" s="133">
        <f>SUM('Audi A1 MF12'!B3:B79)</f>
        <v>890.79</v>
      </c>
      <c r="K152" s="52">
        <f>SUM(I152:J152)</f>
        <v>4390.79</v>
      </c>
      <c r="L152" s="133">
        <v>7250</v>
      </c>
      <c r="M152" s="52">
        <f>L152-SUM(I152:J152)</f>
        <v>2859.21</v>
      </c>
      <c r="N152" s="151" t="s">
        <v>29</v>
      </c>
    </row>
    <row r="153" ht="25" customHeight="1" spans="2:14" x14ac:dyDescent="0.25">
      <c r="B153" s="199">
        <v>46023</v>
      </c>
      <c r="C153" s="144">
        <v>45989</v>
      </c>
      <c r="D153" s="122" t="s">
        <v>238</v>
      </c>
      <c r="E153" s="200" t="s">
        <v>239</v>
      </c>
      <c r="F153" s="200" t="s">
        <v>107</v>
      </c>
      <c r="G153" s="77" t="s">
        <v>359</v>
      </c>
      <c r="H153" s="95"/>
      <c r="I153" s="95">
        <v>3200</v>
      </c>
      <c r="J153" s="95">
        <f>SUM('Polo MF14 TUH'!B3:B79)</f>
        <v>1701.89</v>
      </c>
      <c r="K153" s="45">
        <f>SUM(H153:J153)</f>
        <v>4901.89</v>
      </c>
      <c r="L153" s="95"/>
      <c r="M153" s="77"/>
      <c r="N153" s="174"/>
    </row>
    <row r="154" ht="25" customHeight="1" spans="2:14" x14ac:dyDescent="0.25">
      <c r="B154" s="199">
        <v>46023</v>
      </c>
      <c r="C154" s="144">
        <v>45985</v>
      </c>
      <c r="D154" s="44" t="s">
        <v>196</v>
      </c>
      <c r="E154" s="77" t="s">
        <v>197</v>
      </c>
      <c r="F154" s="77" t="s">
        <v>110</v>
      </c>
      <c r="G154" s="77" t="s">
        <v>377</v>
      </c>
      <c r="H154" s="95"/>
      <c r="I154" s="95">
        <v>2625</v>
      </c>
      <c r="J154" s="95">
        <f>SUM('Jaguar XF OY61 UTH'!B4:B74)</f>
        <v>543.1366666666668</v>
      </c>
      <c r="K154" s="45">
        <f>SUM(H154:J154)</f>
        <v>3168.1366666666668</v>
      </c>
      <c r="L154" s="95"/>
      <c r="M154" s="77"/>
      <c r="N154" s="174"/>
    </row>
    <row r="155" ht="25" customHeight="1" spans="2:14" x14ac:dyDescent="0.25">
      <c r="B155" s="198">
        <v>46023</v>
      </c>
      <c r="C155" s="149">
        <v>45977</v>
      </c>
      <c r="D155" s="150" t="s">
        <v>169</v>
      </c>
      <c r="E155" s="158" t="s">
        <v>170</v>
      </c>
      <c r="F155" s="158" t="s">
        <v>113</v>
      </c>
      <c r="G155" s="158" t="s">
        <v>359</v>
      </c>
      <c r="H155" s="133"/>
      <c r="I155" s="133">
        <f>4350</f>
        <v>4350</v>
      </c>
      <c r="J155" s="133">
        <f>SUM('Audi S5 SP08 KLX '!B3:B71)</f>
        <v>1144.4599999999998</v>
      </c>
      <c r="K155" s="52">
        <f>SUM(H155:J155)</f>
        <v>5494.46</v>
      </c>
      <c r="L155" s="133">
        <v>8995</v>
      </c>
      <c r="M155" s="52">
        <f>L155-SUM(I155:J155)</f>
        <v>3500.54</v>
      </c>
      <c r="N155" s="151" t="s">
        <v>29</v>
      </c>
    </row>
    <row r="156" ht="25" customHeight="1" spans="2:14" x14ac:dyDescent="0.25">
      <c r="B156" s="198">
        <v>46023</v>
      </c>
      <c r="C156" s="149">
        <v>45980</v>
      </c>
      <c r="D156" s="150" t="s">
        <v>165</v>
      </c>
      <c r="E156" s="158" t="s">
        <v>166</v>
      </c>
      <c r="F156" s="158" t="s">
        <v>125</v>
      </c>
      <c r="G156" s="158" t="s">
        <v>359</v>
      </c>
      <c r="H156" s="133"/>
      <c r="I156" s="133">
        <f>4000</f>
        <v>4000</v>
      </c>
      <c r="J156" s="133">
        <f>SUM('Kuga VX15 DYU'!B3:B75)</f>
        <v>1602.543333333333</v>
      </c>
      <c r="K156" s="52">
        <f>SUM(H156:J156)</f>
        <v>5602.543333333333</v>
      </c>
      <c r="L156" s="133">
        <v>7793.28</v>
      </c>
      <c r="M156" s="52">
        <f>L156-SUM(I156:J156)</f>
        <v>2190.7366666666667</v>
      </c>
      <c r="N156" s="151" t="s">
        <v>29</v>
      </c>
    </row>
    <row r="157" ht="25" customHeight="1" spans="2:14" x14ac:dyDescent="0.25">
      <c r="B157" s="198">
        <v>46023</v>
      </c>
      <c r="C157" s="149">
        <v>45960</v>
      </c>
      <c r="D157" s="150" t="s">
        <v>171</v>
      </c>
      <c r="E157" s="158" t="s">
        <v>122</v>
      </c>
      <c r="F157" s="158" t="s">
        <v>107</v>
      </c>
      <c r="G157" s="158" t="s">
        <v>359</v>
      </c>
      <c r="H157" s="133"/>
      <c r="I157" s="133">
        <v>1400</v>
      </c>
      <c r="J157" s="133">
        <f>SUM('Fiat 500 WM63 XCE Grey'!B3:B66)</f>
        <v>1239.2800000000002</v>
      </c>
      <c r="K157" s="52">
        <f t="shared" ref="K157:K163" si="10">SUM(I157:J157)</f>
        <v>2639.28</v>
      </c>
      <c r="L157" s="133">
        <v>3595</v>
      </c>
      <c r="M157" s="52">
        <f>L157-SUM(I157:J157)</f>
        <v>955.7199999999998</v>
      </c>
      <c r="N157" s="151" t="s">
        <v>29</v>
      </c>
    </row>
    <row r="158" ht="25" customHeight="1" spans="2:14" x14ac:dyDescent="0.25">
      <c r="B158" s="199">
        <v>46023</v>
      </c>
      <c r="C158" s="144">
        <v>45975</v>
      </c>
      <c r="D158" s="44" t="s">
        <v>195</v>
      </c>
      <c r="E158" s="77" t="s">
        <v>122</v>
      </c>
      <c r="F158" s="77" t="s">
        <v>110</v>
      </c>
      <c r="G158" s="77" t="s">
        <v>359</v>
      </c>
      <c r="H158" s="95"/>
      <c r="I158" s="95">
        <v>3500</v>
      </c>
      <c r="J158" s="95">
        <f>SUM('Fiat 500 YB65 XPP'!B3:B83)</f>
        <v>779.18</v>
      </c>
      <c r="K158" s="45">
        <f t="shared" si="10"/>
        <v>4279.18</v>
      </c>
      <c r="L158" s="95"/>
      <c r="M158" s="77"/>
      <c r="N158" s="174"/>
    </row>
    <row r="159" ht="25" customHeight="1" spans="2:14" x14ac:dyDescent="0.25">
      <c r="B159" s="199">
        <v>46023</v>
      </c>
      <c r="C159" s="144">
        <v>45993</v>
      </c>
      <c r="D159" s="44" t="s">
        <v>198</v>
      </c>
      <c r="E159" s="77" t="s">
        <v>199</v>
      </c>
      <c r="F159" s="77" t="s">
        <v>110</v>
      </c>
      <c r="G159" s="77" t="s">
        <v>377</v>
      </c>
      <c r="H159" s="95"/>
      <c r="I159" s="95">
        <v>4050</v>
      </c>
      <c r="J159" s="95">
        <f>SUM('Polo CY64 ACO'!B3:B20)</f>
        <v>592.52</v>
      </c>
      <c r="K159" s="45">
        <f t="shared" si="10"/>
        <v>4642.52</v>
      </c>
      <c r="L159" s="95"/>
      <c r="M159" s="77"/>
      <c r="N159" s="174"/>
    </row>
    <row r="160" ht="25" customHeight="1" spans="2:14" x14ac:dyDescent="0.25">
      <c r="B160" s="198">
        <v>46023</v>
      </c>
      <c r="C160" s="149">
        <v>45999</v>
      </c>
      <c r="D160" s="150" t="s">
        <v>167</v>
      </c>
      <c r="E160" s="158" t="s">
        <v>168</v>
      </c>
      <c r="F160" s="158" t="s">
        <v>129</v>
      </c>
      <c r="G160" s="158" t="s">
        <v>377</v>
      </c>
      <c r="H160" s="133"/>
      <c r="I160" s="133">
        <v>5000</v>
      </c>
      <c r="J160" s="133">
        <f>SUM('BMW GT SV63 KKO'!B3:B72)</f>
        <v>1270.6799999999998</v>
      </c>
      <c r="K160" s="52">
        <f t="shared" si="10"/>
        <v>6270.68</v>
      </c>
      <c r="L160" s="133">
        <v>8400</v>
      </c>
      <c r="M160" s="52">
        <f>L160-SUM(I160:J160)</f>
        <v>2129.3199999999997</v>
      </c>
      <c r="N160" s="151" t="s">
        <v>29</v>
      </c>
    </row>
    <row r="161" ht="25" customHeight="1" spans="2:14" x14ac:dyDescent="0.25">
      <c r="B161" s="199">
        <v>46023</v>
      </c>
      <c r="C161" s="144">
        <v>46000</v>
      </c>
      <c r="D161" s="44" t="s">
        <v>187</v>
      </c>
      <c r="E161" s="77" t="s">
        <v>119</v>
      </c>
      <c r="F161" s="77" t="s">
        <v>106</v>
      </c>
      <c r="G161" s="77" t="s">
        <v>359</v>
      </c>
      <c r="H161" s="95"/>
      <c r="I161" s="95">
        <v>1200</v>
      </c>
      <c r="J161" s="95">
        <f>SUM('Nissan Note RV62 UMD'!B3:B39)</f>
        <v>1650.71</v>
      </c>
      <c r="K161" s="45">
        <f t="shared" si="10"/>
        <v>2850.71</v>
      </c>
      <c r="L161" s="95"/>
      <c r="M161" s="77"/>
      <c r="N161" s="174"/>
    </row>
    <row r="162" ht="25" customHeight="1" spans="2:14" x14ac:dyDescent="0.25">
      <c r="B162" s="199">
        <v>46023</v>
      </c>
      <c r="C162" s="144">
        <v>46003</v>
      </c>
      <c r="D162" s="44" t="s">
        <v>384</v>
      </c>
      <c r="E162" s="77" t="s">
        <v>385</v>
      </c>
      <c r="F162" s="77" t="s">
        <v>125</v>
      </c>
      <c r="G162" s="77" t="s">
        <v>377</v>
      </c>
      <c r="H162" s="95"/>
      <c r="I162" s="95">
        <v>5000</v>
      </c>
      <c r="J162" s="95">
        <f>SUM('Audi A7 OV61 WKH'!B3:B96)</f>
        <v>2573.46</v>
      </c>
      <c r="K162" s="45">
        <f t="shared" si="10"/>
        <v>7573.46</v>
      </c>
      <c r="L162" s="95"/>
      <c r="M162" s="77"/>
      <c r="N162" s="174"/>
    </row>
    <row r="163" ht="25" customHeight="1" spans="2:14" x14ac:dyDescent="0.25">
      <c r="B163" s="199">
        <v>46023</v>
      </c>
      <c r="C163" s="144">
        <v>46006</v>
      </c>
      <c r="D163" s="44" t="s">
        <v>203</v>
      </c>
      <c r="E163" s="77" t="s">
        <v>148</v>
      </c>
      <c r="F163" s="77" t="s">
        <v>129</v>
      </c>
      <c r="G163" s="77" t="s">
        <v>359</v>
      </c>
      <c r="H163" s="95"/>
      <c r="I163" s="95">
        <v>5500</v>
      </c>
      <c r="J163" s="95">
        <f>SUM('Audi A3 LG61 RTV'!B3:B41)</f>
        <v>993.7</v>
      </c>
      <c r="K163" s="45">
        <f t="shared" si="10"/>
        <v>6493.7</v>
      </c>
      <c r="L163" s="95"/>
      <c r="M163" s="77"/>
      <c r="N163" s="174"/>
    </row>
    <row r="164" ht="26" customHeight="1" spans="2:14" x14ac:dyDescent="0.25">
      <c r="B164" s="199">
        <v>46023</v>
      </c>
      <c r="C164" s="190">
        <v>46007</v>
      </c>
      <c r="D164" s="115" t="s">
        <v>235</v>
      </c>
      <c r="E164" s="191" t="s">
        <v>122</v>
      </c>
      <c r="F164" s="191" t="s">
        <v>107</v>
      </c>
      <c r="G164" s="191" t="s">
        <v>359</v>
      </c>
      <c r="H164" s="116"/>
      <c r="I164" s="116">
        <v>900</v>
      </c>
      <c r="J164" s="116">
        <f>SUM('Fiat 500 LK15'!B3:B14)</f>
        <v>3114.6099999999997</v>
      </c>
      <c r="K164" s="45">
        <f>Table12[[#This Row],[Reconditioning costs]]+Table12[[#This Row],[Price]]</f>
        <v>4014.6099999999997</v>
      </c>
      <c r="L164" s="116"/>
      <c r="M164" s="201"/>
      <c r="N164" s="202"/>
    </row>
    <row r="165" ht="26" customHeight="1" spans="2:14" x14ac:dyDescent="0.25">
      <c r="B165" s="199">
        <v>46023</v>
      </c>
      <c r="C165" s="190">
        <v>46022</v>
      </c>
      <c r="D165" s="115" t="s">
        <v>225</v>
      </c>
      <c r="E165" s="191" t="s">
        <v>226</v>
      </c>
      <c r="F165" s="191" t="s">
        <v>129</v>
      </c>
      <c r="G165" s="191" t="s">
        <v>359</v>
      </c>
      <c r="H165" s="116"/>
      <c r="I165" s="203">
        <v>5200</v>
      </c>
      <c r="J165" s="116">
        <f>SUM('Mitsubishi DN16 YXF'!B3:B48)</f>
        <v>1297.8799999999999</v>
      </c>
      <c r="K165" s="45">
        <f>Table12[[#This Row],[Reconditioning costs]]+Table12[[#This Row],[Price]]</f>
        <v>6497.88</v>
      </c>
      <c r="L165" s="95"/>
      <c r="M165" s="77"/>
      <c r="N165" s="202"/>
    </row>
    <row r="166" ht="26" customHeight="1" spans="2:14" x14ac:dyDescent="0.25">
      <c r="B166" s="198">
        <v>46023</v>
      </c>
      <c r="C166" s="192">
        <v>46029</v>
      </c>
      <c r="D166" s="193" t="s">
        <v>172</v>
      </c>
      <c r="E166" s="193" t="s">
        <v>173</v>
      </c>
      <c r="F166" s="194" t="s">
        <v>107</v>
      </c>
      <c r="G166" s="194" t="s">
        <v>359</v>
      </c>
      <c r="H166" s="204"/>
      <c r="I166" s="204">
        <v>5650</v>
      </c>
      <c r="J166" s="204">
        <f>SUM('BMW 520D EJ14'!B3:B26)</f>
        <v>891.12</v>
      </c>
      <c r="K166" s="52">
        <f>Table12[[#This Row],[Reconditioning costs]]+Table12[[#This Row],[Price]]</f>
        <v>6541.12</v>
      </c>
      <c r="L166" s="133">
        <v>8495</v>
      </c>
      <c r="M166" s="52">
        <f>L166-SUM(I166:J166)</f>
        <v>1953.88</v>
      </c>
      <c r="N166" s="151" t="s">
        <v>29</v>
      </c>
    </row>
    <row r="167" ht="26" customHeight="1" spans="2:14" x14ac:dyDescent="0.25">
      <c r="B167" s="199">
        <v>46023</v>
      </c>
      <c r="C167" s="190">
        <v>46031</v>
      </c>
      <c r="D167" s="205" t="s">
        <v>183</v>
      </c>
      <c r="E167" s="115" t="s">
        <v>184</v>
      </c>
      <c r="F167" s="191" t="s">
        <v>107</v>
      </c>
      <c r="G167" s="191" t="s">
        <v>359</v>
      </c>
      <c r="H167" s="131"/>
      <c r="I167" s="116">
        <v>7023</v>
      </c>
      <c r="J167" s="116">
        <f>SUM('Octavia VRS GY14 BZC'!B3:B29)</f>
        <v>1223.15</v>
      </c>
      <c r="K167" s="45">
        <f>Table12[[#This Row],[Reconditioning costs]]+Table12[[#This Row],[Price]]</f>
        <v>8246.15</v>
      </c>
      <c r="L167" s="95"/>
      <c r="M167" s="77"/>
      <c r="N167" s="202"/>
    </row>
    <row r="168" ht="26" customHeight="1" spans="2:14" x14ac:dyDescent="0.25">
      <c r="B168" s="199">
        <v>46023</v>
      </c>
      <c r="C168" s="190">
        <v>46032</v>
      </c>
      <c r="D168" s="115" t="s">
        <v>386</v>
      </c>
      <c r="E168" s="115" t="s">
        <v>387</v>
      </c>
      <c r="F168" s="191" t="s">
        <v>107</v>
      </c>
      <c r="G168" s="191" t="s">
        <v>359</v>
      </c>
      <c r="H168" s="131"/>
      <c r="I168" s="116">
        <v>4950</v>
      </c>
      <c r="J168" s="116">
        <f>SUM('Suzuki Swift YB68 XYT'!B3:B34)</f>
        <v>424.73</v>
      </c>
      <c r="K168" s="45">
        <f>Table12[[#This Row],[Reconditioning costs]]+Table12[[#This Row],[Price]]</f>
        <v>5374.73</v>
      </c>
      <c r="L168" s="95"/>
      <c r="M168" s="77"/>
      <c r="N168" s="202"/>
    </row>
    <row r="169" ht="26" customHeight="1" spans="2:14" x14ac:dyDescent="0.25">
      <c r="B169" s="199">
        <v>46023</v>
      </c>
      <c r="C169" s="206">
        <v>46033</v>
      </c>
      <c r="D169" s="115" t="s">
        <v>388</v>
      </c>
      <c r="E169" s="205" t="s">
        <v>389</v>
      </c>
      <c r="F169" s="207" t="s">
        <v>125</v>
      </c>
      <c r="G169" s="191" t="s">
        <v>359</v>
      </c>
      <c r="H169" s="208"/>
      <c r="I169" s="209">
        <v>5665.88</v>
      </c>
      <c r="J169" s="209">
        <f>SUM('BMW 120D PE65 LXZ'!B3:B21)</f>
        <v>862.8499999999999</v>
      </c>
      <c r="K169" s="45">
        <f>Table12[[#This Row],[Reconditioning costs]]+Table12[[#This Row],[Price]]</f>
        <v>6528.73</v>
      </c>
      <c r="L169" s="95"/>
      <c r="M169" s="77"/>
      <c r="N169" s="202"/>
    </row>
    <row r="170" ht="26" customHeight="1" spans="2:14" x14ac:dyDescent="0.25">
      <c r="B170" s="198">
        <v>46023</v>
      </c>
      <c r="C170" s="149">
        <v>46037</v>
      </c>
      <c r="D170" s="150" t="s">
        <v>174</v>
      </c>
      <c r="E170" s="158" t="s">
        <v>175</v>
      </c>
      <c r="F170" s="158" t="s">
        <v>107</v>
      </c>
      <c r="G170" s="194" t="s">
        <v>359</v>
      </c>
      <c r="H170" s="133"/>
      <c r="I170" s="133">
        <v>4600</v>
      </c>
      <c r="J170" s="133">
        <f>SUM('Smart Premium SR16 HKT'!B3:B157)</f>
        <v>653.0200000000001</v>
      </c>
      <c r="K170" s="52">
        <f>Table12[[#This Row],[Reconditioning costs]]+Table12[[#This Row],[Price]]</f>
        <v>5253.02</v>
      </c>
      <c r="L170" s="133">
        <v>8995</v>
      </c>
      <c r="M170" s="52">
        <f>L170-SUM(I170:J170)</f>
        <v>3741.9799999999996</v>
      </c>
      <c r="N170" s="151" t="s">
        <v>29</v>
      </c>
    </row>
    <row r="171" ht="26" customHeight="1" spans="2:14" x14ac:dyDescent="0.25">
      <c r="B171" s="199">
        <v>46023</v>
      </c>
      <c r="C171" s="144">
        <v>46050</v>
      </c>
      <c r="D171" s="44" t="s">
        <v>236</v>
      </c>
      <c r="E171" s="77" t="s">
        <v>237</v>
      </c>
      <c r="F171" s="77" t="s">
        <v>129</v>
      </c>
      <c r="G171" s="191" t="s">
        <v>359</v>
      </c>
      <c r="H171" s="95"/>
      <c r="I171" s="95">
        <v>5500</v>
      </c>
      <c r="J171" s="95">
        <f>SUM('Ford Mondeo DG68'!B3:B28)</f>
        <v>897.64</v>
      </c>
      <c r="K171" s="45">
        <f>Table12[[#This Row],[Reconditioning costs]]+Table12[[#This Row],[Price]]</f>
        <v>6397.64</v>
      </c>
      <c r="L171" s="95"/>
      <c r="M171" s="77"/>
      <c r="N171" s="84"/>
    </row>
    <row r="172" ht="26" customHeight="1" spans="2:14" x14ac:dyDescent="0.25">
      <c r="B172" s="199">
        <v>46023</v>
      </c>
      <c r="C172" s="144">
        <v>46050</v>
      </c>
      <c r="D172" s="44" t="s">
        <v>205</v>
      </c>
      <c r="E172" s="44" t="s">
        <v>206</v>
      </c>
      <c r="F172" s="44" t="s">
        <v>107</v>
      </c>
      <c r="G172" s="191" t="s">
        <v>359</v>
      </c>
      <c r="H172" s="95"/>
      <c r="I172" s="95">
        <v>5300</v>
      </c>
      <c r="J172" s="45">
        <f>SUM('BMW 518D PG66'!B3:B37)</f>
        <v>1088.24</v>
      </c>
      <c r="K172" s="45">
        <f>Table12[[#This Row],[Reconditioning costs]]+Table12[[#This Row],[Price]]</f>
        <v>6388.24</v>
      </c>
      <c r="L172" s="77"/>
      <c r="M172" s="77"/>
      <c r="N172" s="84"/>
    </row>
    <row r="173" ht="26" customHeight="1" spans="2:14" x14ac:dyDescent="0.25">
      <c r="B173" s="198">
        <v>46023</v>
      </c>
      <c r="C173" s="149">
        <v>46050</v>
      </c>
      <c r="D173" s="150" t="s">
        <v>179</v>
      </c>
      <c r="E173" s="158" t="s">
        <v>180</v>
      </c>
      <c r="F173" s="150" t="s">
        <v>107</v>
      </c>
      <c r="G173" s="194" t="s">
        <v>359</v>
      </c>
      <c r="H173" s="133"/>
      <c r="I173" s="133">
        <v>850</v>
      </c>
      <c r="J173" s="52">
        <f>SUM('Peugeot 2008 EU14'!B3:B24)</f>
        <v>478.74</v>
      </c>
      <c r="K173" s="52">
        <f>Table12[[#This Row],[Reconditioning costs]]+Table12[[#This Row],[Price]]</f>
        <v>1328.74</v>
      </c>
      <c r="L173" s="133">
        <v>2000</v>
      </c>
      <c r="M173" s="52">
        <f>L173-SUM(I173:J173)</f>
        <v>671.26</v>
      </c>
      <c r="N173" s="151" t="s">
        <v>29</v>
      </c>
    </row>
    <row r="174" ht="26" customHeight="1" spans="2:14" x14ac:dyDescent="0.25">
      <c r="B174" s="199">
        <v>46023</v>
      </c>
      <c r="C174" s="144">
        <v>46051</v>
      </c>
      <c r="D174" s="44" t="s">
        <v>390</v>
      </c>
      <c r="E174" s="77" t="s">
        <v>391</v>
      </c>
      <c r="F174" s="77" t="s">
        <v>392</v>
      </c>
      <c r="G174" s="191" t="s">
        <v>359</v>
      </c>
      <c r="H174" s="95"/>
      <c r="I174" s="95">
        <v>3850</v>
      </c>
      <c r="J174" s="45">
        <f>SUM('BMW 328i YB61'!B3:B143)</f>
        <v>2836.6800000000003</v>
      </c>
      <c r="K174" s="45">
        <f>Table12[[#This Row],[Reconditioning costs]]+Table12[[#This Row],[Price]]</f>
        <v>6686.68</v>
      </c>
      <c r="L174" s="95"/>
      <c r="M174" s="77"/>
      <c r="N174" s="84"/>
    </row>
    <row r="175" ht="26" customHeight="1" spans="2:14" x14ac:dyDescent="0.25">
      <c r="B175" s="210">
        <v>46023</v>
      </c>
      <c r="C175" s="211"/>
      <c r="D175" s="212"/>
      <c r="E175" s="212"/>
      <c r="F175" s="212"/>
      <c r="G175" s="212"/>
      <c r="H175" s="213"/>
      <c r="I175" s="213"/>
      <c r="J175" s="214"/>
      <c r="K175" s="214"/>
      <c r="L175" s="215"/>
      <c r="M175" s="216"/>
      <c r="N175" s="72"/>
    </row>
    <row r="176" ht="26" customHeight="1" spans="2:14" x14ac:dyDescent="0.25">
      <c r="B176" s="198">
        <v>46054</v>
      </c>
      <c r="C176" s="149">
        <v>45989</v>
      </c>
      <c r="D176" s="150" t="s">
        <v>185</v>
      </c>
      <c r="E176" s="158" t="s">
        <v>186</v>
      </c>
      <c r="F176" s="158" t="s">
        <v>113</v>
      </c>
      <c r="G176" s="158" t="s">
        <v>359</v>
      </c>
      <c r="H176" s="177"/>
      <c r="I176" s="133">
        <v>4650</v>
      </c>
      <c r="J176" s="133">
        <f>SUM('Honda CRV KU13 FBF'!B3:B113)</f>
        <v>1082.32</v>
      </c>
      <c r="K176" s="52">
        <f>SUM(H176:J176)</f>
        <v>5732.32</v>
      </c>
      <c r="L176" s="133">
        <v>7995</v>
      </c>
      <c r="M176" s="52">
        <f>L176-SUM(I176:J176)</f>
        <v>2262.6800000000003</v>
      </c>
      <c r="N176" s="151" t="s">
        <v>29</v>
      </c>
    </row>
    <row r="177" ht="26" customHeight="1" spans="2:14" x14ac:dyDescent="0.25">
      <c r="B177" s="217">
        <v>46054</v>
      </c>
      <c r="C177" s="144">
        <v>45989</v>
      </c>
      <c r="D177" s="122" t="s">
        <v>238</v>
      </c>
      <c r="E177" s="200" t="s">
        <v>239</v>
      </c>
      <c r="F177" s="200" t="s">
        <v>107</v>
      </c>
      <c r="G177" s="77" t="s">
        <v>359</v>
      </c>
      <c r="H177" s="95"/>
      <c r="I177" s="95">
        <v>3200</v>
      </c>
      <c r="J177" s="95">
        <f>SUM('Polo MF14 TUH'!B3:B105)</f>
        <v>1701.89</v>
      </c>
      <c r="K177" s="45">
        <f>SUM(H177:J177)</f>
        <v>4901.89</v>
      </c>
      <c r="L177" s="95"/>
      <c r="M177" s="45"/>
      <c r="N177" s="218"/>
    </row>
    <row r="178" ht="26" customHeight="1" spans="2:14" x14ac:dyDescent="0.25">
      <c r="B178" s="198">
        <v>46054</v>
      </c>
      <c r="C178" s="149">
        <v>45985</v>
      </c>
      <c r="D178" s="150" t="s">
        <v>196</v>
      </c>
      <c r="E178" s="158" t="s">
        <v>197</v>
      </c>
      <c r="F178" s="158" t="s">
        <v>110</v>
      </c>
      <c r="G178" s="158" t="s">
        <v>377</v>
      </c>
      <c r="H178" s="133"/>
      <c r="I178" s="133">
        <v>2625</v>
      </c>
      <c r="J178" s="133">
        <f>SUM('Jaguar XF OY61 UTH'!B3:B100)</f>
        <v>901.9366666666667</v>
      </c>
      <c r="K178" s="52">
        <f>SUM(H178:J178)</f>
        <v>3526.9366666666665</v>
      </c>
      <c r="L178" s="133">
        <v>5000</v>
      </c>
      <c r="M178" s="52">
        <f>L178-SUM(I178:J178)</f>
        <v>1473.0633333333335</v>
      </c>
      <c r="N178" s="151" t="s">
        <v>29</v>
      </c>
    </row>
    <row r="179" ht="24" customHeight="1" spans="2:14" x14ac:dyDescent="0.25">
      <c r="B179" s="198">
        <v>46054</v>
      </c>
      <c r="C179" s="149">
        <v>45975</v>
      </c>
      <c r="D179" s="150" t="s">
        <v>195</v>
      </c>
      <c r="E179" s="158" t="s">
        <v>122</v>
      </c>
      <c r="F179" s="158" t="s">
        <v>110</v>
      </c>
      <c r="G179" s="158" t="s">
        <v>359</v>
      </c>
      <c r="H179" s="133"/>
      <c r="I179" s="133">
        <v>3500</v>
      </c>
      <c r="J179" s="133">
        <f>SUM('Fiat 500 YB65 XPP'!B3:B106)</f>
        <v>779.18</v>
      </c>
      <c r="K179" s="52">
        <f>SUM(I179:J179)</f>
        <v>4279.18</v>
      </c>
      <c r="L179" s="133">
        <v>5400</v>
      </c>
      <c r="M179" s="52">
        <f>L179-SUM(I179:J179)</f>
        <v>1120.8199999999997</v>
      </c>
      <c r="N179" s="151" t="s">
        <v>29</v>
      </c>
    </row>
    <row r="180" ht="24" customHeight="1" spans="2:14" x14ac:dyDescent="0.25">
      <c r="B180" s="198">
        <v>46054</v>
      </c>
      <c r="C180" s="149">
        <v>45993</v>
      </c>
      <c r="D180" s="150" t="s">
        <v>198</v>
      </c>
      <c r="E180" s="158" t="s">
        <v>199</v>
      </c>
      <c r="F180" s="158" t="s">
        <v>110</v>
      </c>
      <c r="G180" s="158" t="s">
        <v>377</v>
      </c>
      <c r="H180" s="133"/>
      <c r="I180" s="133">
        <v>4050</v>
      </c>
      <c r="J180" s="133">
        <f>SUM('Polo CY64 ACO'!B3:B43)</f>
        <v>592.52</v>
      </c>
      <c r="K180" s="52">
        <f>SUM(I180:J180)</f>
        <v>4642.52</v>
      </c>
      <c r="L180" s="133">
        <v>5795</v>
      </c>
      <c r="M180" s="52">
        <f>L180-SUM(I180:J180)</f>
        <v>1152.4799999999996</v>
      </c>
      <c r="N180" s="151" t="s">
        <v>29</v>
      </c>
    </row>
    <row r="181" ht="24" customHeight="1" spans="2:14" x14ac:dyDescent="0.25">
      <c r="B181" s="198">
        <v>46054</v>
      </c>
      <c r="C181" s="149">
        <v>46000</v>
      </c>
      <c r="D181" s="150" t="s">
        <v>187</v>
      </c>
      <c r="E181" s="158" t="s">
        <v>119</v>
      </c>
      <c r="F181" s="158" t="s">
        <v>106</v>
      </c>
      <c r="G181" s="158" t="s">
        <v>359</v>
      </c>
      <c r="H181" s="133"/>
      <c r="I181" s="133">
        <v>1200</v>
      </c>
      <c r="J181" s="133">
        <f>SUM('Nissan Note RV62 UMD'!B3:B61)</f>
        <v>1650.71</v>
      </c>
      <c r="K181" s="52">
        <f>SUM(I181:J181)</f>
        <v>2850.71</v>
      </c>
      <c r="L181" s="133">
        <v>5375</v>
      </c>
      <c r="M181" s="52">
        <f>L181-SUM(I181:J181)</f>
        <v>2524.29</v>
      </c>
      <c r="N181" s="151" t="s">
        <v>29</v>
      </c>
    </row>
    <row r="182" ht="24" customHeight="1" spans="2:14" x14ac:dyDescent="0.25">
      <c r="B182" s="217">
        <v>46054</v>
      </c>
      <c r="C182" s="144">
        <v>46003</v>
      </c>
      <c r="D182" s="44" t="s">
        <v>384</v>
      </c>
      <c r="E182" s="77" t="s">
        <v>385</v>
      </c>
      <c r="F182" s="77" t="s">
        <v>125</v>
      </c>
      <c r="G182" s="77" t="s">
        <v>377</v>
      </c>
      <c r="H182" s="95"/>
      <c r="I182" s="95">
        <v>5000</v>
      </c>
      <c r="J182" s="95">
        <f>SUM('Audi A7 OV61 WKH'!B3:B118)</f>
        <v>2573.46</v>
      </c>
      <c r="K182" s="45">
        <f>SUM(I182:J182)</f>
        <v>7573.46</v>
      </c>
      <c r="L182" s="170"/>
      <c r="M182" s="170"/>
      <c r="N182" s="84"/>
    </row>
    <row r="183" ht="24" customHeight="1" spans="2:14" x14ac:dyDescent="0.25">
      <c r="B183" s="217">
        <v>46054</v>
      </c>
      <c r="C183" s="144">
        <v>46006</v>
      </c>
      <c r="D183" s="44" t="s">
        <v>203</v>
      </c>
      <c r="E183" s="77" t="s">
        <v>148</v>
      </c>
      <c r="F183" s="77" t="s">
        <v>129</v>
      </c>
      <c r="G183" s="77" t="s">
        <v>359</v>
      </c>
      <c r="H183" s="95"/>
      <c r="I183" s="95">
        <v>5500</v>
      </c>
      <c r="J183" s="95">
        <f>SUM('Audi A3 LG61 RTV'!B3:B63)</f>
        <v>993.7</v>
      </c>
      <c r="K183" s="45">
        <f>SUM(I183:J183)</f>
        <v>6493.7</v>
      </c>
      <c r="L183" s="170"/>
      <c r="M183" s="170"/>
      <c r="N183" s="84"/>
    </row>
    <row r="184" ht="24" customHeight="1" spans="2:14" x14ac:dyDescent="0.25">
      <c r="B184" s="217">
        <v>46054</v>
      </c>
      <c r="C184" s="190">
        <v>46007</v>
      </c>
      <c r="D184" s="115" t="s">
        <v>235</v>
      </c>
      <c r="E184" s="191" t="s">
        <v>122</v>
      </c>
      <c r="F184" s="191" t="s">
        <v>107</v>
      </c>
      <c r="G184" s="191" t="s">
        <v>359</v>
      </c>
      <c r="H184" s="116"/>
      <c r="I184" s="116">
        <v>900</v>
      </c>
      <c r="J184" s="116">
        <f>SUM('Fiat 500 LK15'!B3:B36)</f>
        <v>3114.6099999999997</v>
      </c>
      <c r="K184" s="45">
        <f>Table12[[#This Row],[Reconditioning costs]]+Table12[[#This Row],[Price]]</f>
        <v>4014.6099999999997</v>
      </c>
      <c r="L184" s="170"/>
      <c r="M184" s="170"/>
      <c r="N184" s="84"/>
    </row>
    <row r="185" ht="24" customHeight="1" spans="2:14" x14ac:dyDescent="0.25">
      <c r="B185" s="217">
        <v>46054</v>
      </c>
      <c r="C185" s="190">
        <v>46022</v>
      </c>
      <c r="D185" s="115" t="s">
        <v>225</v>
      </c>
      <c r="E185" s="191" t="s">
        <v>226</v>
      </c>
      <c r="F185" s="191" t="s">
        <v>129</v>
      </c>
      <c r="G185" s="191" t="s">
        <v>359</v>
      </c>
      <c r="H185" s="116"/>
      <c r="I185" s="203">
        <v>5200</v>
      </c>
      <c r="J185" s="116">
        <f>SUM('Mitsubishi DN16 YXF'!B3:B70)</f>
        <v>1297.8799999999999</v>
      </c>
      <c r="K185" s="45">
        <f>Table12[[#This Row],[Reconditioning costs]]+Table12[[#This Row],[Price]]</f>
        <v>6497.88</v>
      </c>
      <c r="L185" s="170"/>
      <c r="M185" s="170"/>
      <c r="N185" s="84"/>
    </row>
    <row r="186" ht="24" customHeight="1" spans="2:14" x14ac:dyDescent="0.25">
      <c r="B186" s="198">
        <v>46054</v>
      </c>
      <c r="C186" s="192">
        <v>46031</v>
      </c>
      <c r="D186" s="219" t="s">
        <v>183</v>
      </c>
      <c r="E186" s="193" t="s">
        <v>184</v>
      </c>
      <c r="F186" s="194" t="s">
        <v>107</v>
      </c>
      <c r="G186" s="194" t="s">
        <v>377</v>
      </c>
      <c r="H186" s="220"/>
      <c r="I186" s="204">
        <v>7023</v>
      </c>
      <c r="J186" s="204">
        <f>SUM('Octavia VRS GY14 BZC'!B3:B50)</f>
        <v>1223.15</v>
      </c>
      <c r="K186" s="52">
        <f>Table12[[#This Row],[Reconditioning costs]]+Table12[[#This Row],[Price]]</f>
        <v>8246.15</v>
      </c>
      <c r="L186" s="133">
        <v>6500</v>
      </c>
      <c r="M186" s="52">
        <f>L186-SUM(I186:J186)</f>
        <v>-1746.1499999999996</v>
      </c>
      <c r="N186" s="151" t="s">
        <v>29</v>
      </c>
    </row>
    <row r="187" ht="24" customHeight="1" spans="2:14" x14ac:dyDescent="0.25">
      <c r="B187" s="217">
        <v>46054</v>
      </c>
      <c r="C187" s="190">
        <v>46032</v>
      </c>
      <c r="D187" s="115" t="s">
        <v>386</v>
      </c>
      <c r="E187" s="115" t="s">
        <v>387</v>
      </c>
      <c r="F187" s="191" t="s">
        <v>107</v>
      </c>
      <c r="G187" s="191" t="s">
        <v>359</v>
      </c>
      <c r="H187" s="131"/>
      <c r="I187" s="116">
        <v>4950</v>
      </c>
      <c r="J187" s="116">
        <f>SUM('Suzuki Swift YB68 XYT'!B3:B55)</f>
        <v>424.73</v>
      </c>
      <c r="K187" s="45">
        <f>Table12[[#This Row],[Reconditioning costs]]+Table12[[#This Row],[Price]]</f>
        <v>5374.73</v>
      </c>
      <c r="L187" s="109"/>
      <c r="M187" s="109"/>
      <c r="N187" s="221"/>
    </row>
    <row r="188" ht="24" customHeight="1" spans="2:14" x14ac:dyDescent="0.25">
      <c r="B188" s="217">
        <v>46054</v>
      </c>
      <c r="C188" s="206">
        <v>46033</v>
      </c>
      <c r="D188" s="115" t="s">
        <v>388</v>
      </c>
      <c r="E188" s="205" t="s">
        <v>389</v>
      </c>
      <c r="F188" s="207" t="s">
        <v>125</v>
      </c>
      <c r="G188" s="191" t="s">
        <v>377</v>
      </c>
      <c r="H188" s="208"/>
      <c r="I188" s="209">
        <v>5665.88</v>
      </c>
      <c r="J188" s="209">
        <f>SUM('BMW 120D PE65 LXZ'!B3:B42)</f>
        <v>862.8499999999999</v>
      </c>
      <c r="K188" s="45">
        <f>Table12[[#This Row],[Reconditioning costs]]+Table12[[#This Row],[Price]]</f>
        <v>6528.73</v>
      </c>
      <c r="L188" s="109"/>
      <c r="M188" s="109"/>
      <c r="N188" s="221"/>
    </row>
    <row r="189" ht="24" customHeight="1" spans="2:14" x14ac:dyDescent="0.25">
      <c r="B189" s="217">
        <v>46054</v>
      </c>
      <c r="C189" s="144">
        <v>46050</v>
      </c>
      <c r="D189" s="44" t="s">
        <v>236</v>
      </c>
      <c r="E189" s="77" t="s">
        <v>237</v>
      </c>
      <c r="F189" s="77" t="s">
        <v>129</v>
      </c>
      <c r="G189" s="191" t="s">
        <v>359</v>
      </c>
      <c r="H189" s="95"/>
      <c r="I189" s="95">
        <v>5500</v>
      </c>
      <c r="J189" s="95">
        <f>SUM('Ford Mondeo DG68'!B3:B48)</f>
        <v>897.64</v>
      </c>
      <c r="K189" s="45">
        <f>Table12[[#This Row],[Reconditioning costs]]+Table12[[#This Row],[Price]]</f>
        <v>6397.64</v>
      </c>
      <c r="L189" s="109"/>
      <c r="M189" s="109"/>
      <c r="N189" s="221"/>
    </row>
    <row r="190" ht="24" customHeight="1" spans="2:14" x14ac:dyDescent="0.25">
      <c r="B190" s="217">
        <v>46054</v>
      </c>
      <c r="C190" s="144">
        <v>46050</v>
      </c>
      <c r="D190" s="44" t="s">
        <v>205</v>
      </c>
      <c r="E190" s="44" t="s">
        <v>206</v>
      </c>
      <c r="F190" s="44" t="s">
        <v>107</v>
      </c>
      <c r="G190" s="191" t="s">
        <v>377</v>
      </c>
      <c r="H190" s="95"/>
      <c r="I190" s="95">
        <v>5300</v>
      </c>
      <c r="J190" s="95">
        <f>SUM('BMW 518D PG66'!B3:B57)</f>
        <v>1088.24</v>
      </c>
      <c r="K190" s="45">
        <f>Table12[[#This Row],[Reconditioning costs]]+Table12[[#This Row],[Price]]</f>
        <v>6388.24</v>
      </c>
      <c r="L190" s="109"/>
      <c r="M190" s="109"/>
      <c r="N190" s="221"/>
    </row>
    <row r="191" ht="24" customHeight="1" spans="2:14" x14ac:dyDescent="0.25">
      <c r="B191" s="217">
        <v>46054</v>
      </c>
      <c r="C191" s="144">
        <v>46051</v>
      </c>
      <c r="D191" s="44" t="s">
        <v>390</v>
      </c>
      <c r="E191" s="77" t="s">
        <v>391</v>
      </c>
      <c r="F191" s="77" t="s">
        <v>392</v>
      </c>
      <c r="G191" s="191" t="s">
        <v>359</v>
      </c>
      <c r="H191" s="109"/>
      <c r="I191" s="95">
        <v>3850</v>
      </c>
      <c r="J191" s="95">
        <f>SUM('BMW 328i YB61'!B3:B163)</f>
        <v>2836.6800000000003</v>
      </c>
      <c r="K191" s="45">
        <f>Table12[[#This Row],[Reconditioning costs]]+Table12[[#This Row],[Price]]</f>
        <v>6686.68</v>
      </c>
      <c r="L191" s="109"/>
      <c r="M191" s="109"/>
      <c r="N191" s="221"/>
    </row>
    <row r="192" ht="24" customHeight="1" spans="2:14" x14ac:dyDescent="0.25">
      <c r="B192" s="198">
        <v>46054</v>
      </c>
      <c r="C192" s="149">
        <v>46054</v>
      </c>
      <c r="D192" s="150" t="s">
        <v>200</v>
      </c>
      <c r="E192" s="222" t="s">
        <v>201</v>
      </c>
      <c r="F192" s="222" t="s">
        <v>107</v>
      </c>
      <c r="G192" s="222" t="s">
        <v>393</v>
      </c>
      <c r="H192" s="133"/>
      <c r="I192" s="133"/>
      <c r="J192" s="133">
        <f>SUM('Mokka LS13 UKA'!B3:B23)</f>
        <v>781.27</v>
      </c>
      <c r="K192" s="52">
        <f>SUM(Table12[[#This Row],[Reconditioning costs]],Table12[[#This Row],[PX Value]])</f>
        <v>781.27</v>
      </c>
      <c r="L192" s="133">
        <v>3000</v>
      </c>
      <c r="M192" s="52">
        <f>L192-SUM(I192:J192)</f>
        <v>2218.73</v>
      </c>
      <c r="N192" s="151" t="s">
        <v>29</v>
      </c>
    </row>
    <row r="193" ht="24" customHeight="1" spans="2:14" x14ac:dyDescent="0.25">
      <c r="B193" s="217">
        <v>46054</v>
      </c>
      <c r="C193" s="144">
        <v>46054</v>
      </c>
      <c r="D193" s="46" t="s">
        <v>254</v>
      </c>
      <c r="E193" s="46" t="s">
        <v>255</v>
      </c>
      <c r="F193" s="46" t="s">
        <v>107</v>
      </c>
      <c r="G193" s="46" t="s">
        <v>393</v>
      </c>
      <c r="H193" s="95">
        <v>4000</v>
      </c>
      <c r="I193" s="95"/>
      <c r="J193" s="95">
        <f>SUM('Fabia GN66 YWZ PX'!B3:B32)</f>
        <v>122.46000000000001</v>
      </c>
      <c r="K193" s="45">
        <f>SUM(Table12[[#This Row],[Reconditioning costs]],Table12[[#This Row],[PX Value]])</f>
        <v>4122.46</v>
      </c>
      <c r="L193" s="95"/>
      <c r="M193" s="95"/>
      <c r="N193" s="223"/>
    </row>
    <row r="194" ht="24" customHeight="1" spans="2:14" x14ac:dyDescent="0.25">
      <c r="B194" s="217">
        <v>46054</v>
      </c>
      <c r="C194" s="144">
        <v>46055</v>
      </c>
      <c r="D194" s="46" t="s">
        <v>221</v>
      </c>
      <c r="E194" s="46" t="s">
        <v>128</v>
      </c>
      <c r="F194" s="46" t="s">
        <v>110</v>
      </c>
      <c r="G194" s="46" t="s">
        <v>377</v>
      </c>
      <c r="H194" s="95"/>
      <c r="I194" s="95">
        <v>4925</v>
      </c>
      <c r="J194" s="95">
        <f>SUM('A5 WJ62 UVS'!B3:B32)</f>
        <v>1022.61</v>
      </c>
      <c r="K194" s="45">
        <f>Table12[[#This Row],[Reconditioning costs]]+Table12[[#This Row],[Price]]</f>
        <v>5947.61</v>
      </c>
      <c r="L194" s="95"/>
      <c r="M194" s="95"/>
      <c r="N194" s="223"/>
    </row>
    <row r="195" ht="24" customHeight="1" spans="2:14" x14ac:dyDescent="0.25">
      <c r="B195" s="198">
        <v>46054</v>
      </c>
      <c r="C195" s="149">
        <v>46057</v>
      </c>
      <c r="D195" s="222" t="s">
        <v>191</v>
      </c>
      <c r="E195" s="222" t="s">
        <v>131</v>
      </c>
      <c r="F195" s="222" t="s">
        <v>113</v>
      </c>
      <c r="G195" s="222"/>
      <c r="H195" s="222"/>
      <c r="I195" s="133">
        <v>6700</v>
      </c>
      <c r="J195" s="133">
        <f>SUM('Audi A1 EN63 TKA '!B3:B26)</f>
        <v>972.2</v>
      </c>
      <c r="K195" s="52">
        <f>Table12[[#This Row],[Reconditioning costs]]+Table12[[#This Row],[Price]]</f>
        <v>7672.2</v>
      </c>
      <c r="L195" s="133">
        <f>7094-99</f>
        <v>6995</v>
      </c>
      <c r="M195" s="52">
        <f>L195-SUM(I195:J195)</f>
        <v>-677.1999999999998</v>
      </c>
      <c r="N195" s="151" t="s">
        <v>29</v>
      </c>
    </row>
    <row r="196" ht="24" customHeight="1" spans="2:14" x14ac:dyDescent="0.25">
      <c r="B196" s="198">
        <v>46054</v>
      </c>
      <c r="C196" s="149">
        <v>46057</v>
      </c>
      <c r="D196" s="222" t="s">
        <v>189</v>
      </c>
      <c r="E196" s="222" t="s">
        <v>190</v>
      </c>
      <c r="F196" s="222" t="s">
        <v>110</v>
      </c>
      <c r="G196" s="222"/>
      <c r="H196" s="222"/>
      <c r="I196" s="133">
        <v>3500</v>
      </c>
      <c r="J196" s="133">
        <f>SUM('P3008 MF15 OPJ'!B3:B14)</f>
        <v>687.38</v>
      </c>
      <c r="K196" s="52">
        <f>Table12[[#This Row],[Reconditioning costs]]+Table12[[#This Row],[Price]]</f>
        <v>4187.38</v>
      </c>
      <c r="L196" s="133">
        <v>6394.29</v>
      </c>
      <c r="M196" s="52">
        <f>L196-SUM(I196:J196)</f>
        <v>2206.91</v>
      </c>
      <c r="N196" s="151" t="s">
        <v>29</v>
      </c>
    </row>
    <row r="197" ht="24" customHeight="1" spans="2:14" x14ac:dyDescent="0.25">
      <c r="B197" s="217">
        <v>46054</v>
      </c>
      <c r="C197" s="144">
        <v>46059</v>
      </c>
      <c r="D197" s="46" t="s">
        <v>208</v>
      </c>
      <c r="E197" s="46" t="s">
        <v>209</v>
      </c>
      <c r="F197" s="46" t="s">
        <v>125</v>
      </c>
      <c r="G197" s="46"/>
      <c r="H197" s="46"/>
      <c r="I197" s="95">
        <v>4500</v>
      </c>
      <c r="J197" s="95">
        <f>SUM('Mazda CX5 EJ14 PTX'!B3:B28)</f>
        <v>836.2800000000001</v>
      </c>
      <c r="K197" s="45">
        <f>Table12[[#This Row],[Reconditioning costs]]+Table12[[#This Row],[Price]]</f>
        <v>5336.28</v>
      </c>
      <c r="L197" s="95"/>
      <c r="M197" s="95"/>
      <c r="N197" s="223"/>
    </row>
    <row r="198" ht="24" customHeight="1" spans="2:14" x14ac:dyDescent="0.25">
      <c r="B198" s="217">
        <v>46054</v>
      </c>
      <c r="C198" s="144">
        <v>46060</v>
      </c>
      <c r="D198" s="46" t="s">
        <v>394</v>
      </c>
      <c r="E198" s="46" t="s">
        <v>395</v>
      </c>
      <c r="F198" s="46" t="s">
        <v>113</v>
      </c>
      <c r="G198" s="46"/>
      <c r="H198" s="46"/>
      <c r="I198" s="95">
        <v>5700</v>
      </c>
      <c r="J198" s="95">
        <f>SUM('BMW 318D S88 RDF'!B3:B22)</f>
        <v>1043.575</v>
      </c>
      <c r="K198" s="45">
        <f>Table12[[#This Row],[Reconditioning costs]]+Table12[[#This Row],[Price]]</f>
        <v>6743.575</v>
      </c>
      <c r="L198" s="95"/>
      <c r="M198" s="95"/>
      <c r="N198" s="223"/>
    </row>
    <row r="199" ht="24" customHeight="1" spans="2:14" x14ac:dyDescent="0.25">
      <c r="B199" s="217">
        <v>46054</v>
      </c>
      <c r="C199" s="144">
        <v>46060</v>
      </c>
      <c r="D199" s="46" t="s">
        <v>396</v>
      </c>
      <c r="E199" s="46" t="s">
        <v>180</v>
      </c>
      <c r="F199" s="46" t="s">
        <v>113</v>
      </c>
      <c r="G199" s="46"/>
      <c r="H199" s="46"/>
      <c r="I199" s="95">
        <v>5500</v>
      </c>
      <c r="J199" s="95">
        <f>SUM('P2008 LS66 SVA'!B3:B35)</f>
        <v>592.52</v>
      </c>
      <c r="K199" s="45">
        <f>Table12[[#This Row],[Reconditioning costs]]+Table12[[#This Row],[Price]]</f>
        <v>6092.52</v>
      </c>
      <c r="L199" s="95"/>
      <c r="M199" s="95"/>
      <c r="N199" s="223"/>
    </row>
    <row r="200" ht="24" customHeight="1" spans="2:14" x14ac:dyDescent="0.25">
      <c r="B200" s="198">
        <v>46054</v>
      </c>
      <c r="C200" s="149">
        <v>46060</v>
      </c>
      <c r="D200" s="222" t="s">
        <v>193</v>
      </c>
      <c r="E200" s="222" t="s">
        <v>194</v>
      </c>
      <c r="F200" s="222" t="s">
        <v>125</v>
      </c>
      <c r="G200" s="222"/>
      <c r="H200" s="222"/>
      <c r="I200" s="133">
        <v>4750</v>
      </c>
      <c r="J200" s="133">
        <f>SUM('Corsa YY65 CAU'!B3:B38)</f>
        <v>488.035</v>
      </c>
      <c r="K200" s="52">
        <f>Table12[[#This Row],[Reconditioning costs]]+Table12[[#This Row],[Price]]</f>
        <v>5238.035</v>
      </c>
      <c r="L200" s="133">
        <v>6995</v>
      </c>
      <c r="M200" s="52">
        <f>L200-SUM(I200:J200)</f>
        <v>1756.9650000000001</v>
      </c>
      <c r="N200" s="151" t="s">
        <v>29</v>
      </c>
    </row>
    <row r="201" ht="24" customHeight="1" spans="2:14" x14ac:dyDescent="0.25">
      <c r="B201" s="217">
        <v>46054</v>
      </c>
      <c r="C201" s="144">
        <v>46062</v>
      </c>
      <c r="D201" s="44" t="s">
        <v>211</v>
      </c>
      <c r="E201" s="44" t="s">
        <v>212</v>
      </c>
      <c r="F201" s="44" t="s">
        <v>129</v>
      </c>
      <c r="G201" s="44"/>
      <c r="H201" s="44"/>
      <c r="I201" s="101">
        <v>6700</v>
      </c>
      <c r="J201" s="101">
        <f>SUM('CLA FV14 MYL'!B3:B24)</f>
        <v>1531.48</v>
      </c>
      <c r="K201" s="45">
        <f>Table12[[#This Row],[Reconditioning costs]]+Table12[[#This Row],[Price]]</f>
        <v>8231.48</v>
      </c>
      <c r="L201" s="101"/>
      <c r="M201" s="78"/>
      <c r="N201" s="224"/>
    </row>
    <row r="202" ht="24" customHeight="1" spans="2:14" x14ac:dyDescent="0.25">
      <c r="B202" s="199">
        <v>46054</v>
      </c>
      <c r="C202" s="144">
        <v>46066</v>
      </c>
      <c r="D202" s="44" t="s">
        <v>228</v>
      </c>
      <c r="E202" s="44" t="s">
        <v>229</v>
      </c>
      <c r="F202" s="44" t="s">
        <v>129</v>
      </c>
      <c r="G202" s="44"/>
      <c r="H202" s="44"/>
      <c r="I202" s="101">
        <v>4900</v>
      </c>
      <c r="J202" s="101">
        <f>SUM('Polo GTI VK62 THV'!B3:B37)</f>
        <v>610.52</v>
      </c>
      <c r="K202" s="45">
        <f>Table12[[#This Row],[Reconditioning costs]]+Table12[[#This Row],[Price]]</f>
        <v>5510.52</v>
      </c>
      <c r="L202" s="101"/>
      <c r="M202" s="78"/>
      <c r="N202" s="224"/>
    </row>
    <row r="203" ht="24" customHeight="1" spans="2:14" x14ac:dyDescent="0.25">
      <c r="B203" s="199">
        <v>46054</v>
      </c>
      <c r="C203" s="144">
        <v>46067</v>
      </c>
      <c r="D203" s="44" t="s">
        <v>249</v>
      </c>
      <c r="E203" s="44" t="s">
        <v>70</v>
      </c>
      <c r="F203" s="44" t="s">
        <v>107</v>
      </c>
      <c r="G203" s="44" t="s">
        <v>393</v>
      </c>
      <c r="H203" s="101">
        <v>2800</v>
      </c>
      <c r="I203" s="101"/>
      <c r="J203" s="101">
        <f>SUM('Fiesta FN62HKO'!B3:B20)</f>
        <v>240.07999999999998</v>
      </c>
      <c r="K203" s="45">
        <f>Table12[[#This Row],[Reconditioning costs]]+Table12[[#This Row],[Price]]</f>
        <v>240.07999999999998</v>
      </c>
      <c r="L203" s="101"/>
      <c r="M203" s="101"/>
      <c r="N203" s="224"/>
    </row>
    <row r="204" ht="24" customHeight="1" spans="2:14" x14ac:dyDescent="0.25">
      <c r="B204" s="199">
        <v>46054</v>
      </c>
      <c r="C204" s="144">
        <v>46071</v>
      </c>
      <c r="D204" s="44" t="s">
        <v>244</v>
      </c>
      <c r="E204" s="44" t="s">
        <v>245</v>
      </c>
      <c r="F204" s="44" t="s">
        <v>107</v>
      </c>
      <c r="G204" s="44"/>
      <c r="H204" s="101"/>
      <c r="I204" s="101">
        <v>6400</v>
      </c>
      <c r="J204" s="101">
        <f>SUM('GOLF RJ14 YZN'!B3:B24)</f>
        <v>593.2199999999999</v>
      </c>
      <c r="K204" s="45">
        <f>Table12[[#This Row],[Reconditioning costs]]+Table12[[#This Row],[Price]]</f>
        <v>6993.22</v>
      </c>
      <c r="L204" s="101"/>
      <c r="M204" s="101"/>
      <c r="N204" s="224"/>
    </row>
    <row r="205" ht="24" customHeight="1" spans="2:14" x14ac:dyDescent="0.25">
      <c r="B205" s="199">
        <v>46054</v>
      </c>
      <c r="C205" s="144">
        <v>46071</v>
      </c>
      <c r="D205" s="115" t="s">
        <v>397</v>
      </c>
      <c r="E205" s="115" t="s">
        <v>229</v>
      </c>
      <c r="F205" s="115" t="s">
        <v>107</v>
      </c>
      <c r="G205" s="115"/>
      <c r="H205" s="203"/>
      <c r="I205" s="203">
        <v>4150</v>
      </c>
      <c r="J205" s="101">
        <f>SUM('POLO GTI BK61 SWZ'!B3:B28)</f>
        <v>629.49</v>
      </c>
      <c r="K205" s="45">
        <f>Table12[[#This Row],[Reconditioning costs]]+Table12[[#This Row],[Price]]</f>
        <v>4779.49</v>
      </c>
      <c r="L205" s="101"/>
      <c r="M205" s="101"/>
      <c r="N205" s="225"/>
    </row>
    <row r="206" ht="24" customHeight="1" spans="2:14" x14ac:dyDescent="0.25">
      <c r="B206" s="199">
        <v>46054</v>
      </c>
      <c r="C206" s="144">
        <v>46071</v>
      </c>
      <c r="D206" s="44" t="s">
        <v>398</v>
      </c>
      <c r="E206" s="77" t="s">
        <v>146</v>
      </c>
      <c r="F206" s="77" t="s">
        <v>106</v>
      </c>
      <c r="G206" s="77"/>
      <c r="H206" s="95"/>
      <c r="I206" s="95">
        <v>4400</v>
      </c>
      <c r="J206" s="95">
        <f>SUM('Mazda 6 WA13XCV'!B3:B29)</f>
        <v>1158.93</v>
      </c>
      <c r="K206" s="45">
        <f>Table12[[#This Row],[Reconditioning costs]]+Table12[[#This Row],[Price]]</f>
        <v>5558.93</v>
      </c>
      <c r="L206" s="95"/>
      <c r="M206" s="95"/>
      <c r="N206" s="174"/>
    </row>
    <row r="207" ht="24" customHeight="1" spans="2:14" x14ac:dyDescent="0.25">
      <c r="B207" s="199">
        <v>46054</v>
      </c>
      <c r="C207" s="144">
        <v>46073</v>
      </c>
      <c r="D207" s="44" t="s">
        <v>218</v>
      </c>
      <c r="E207" s="44" t="s">
        <v>219</v>
      </c>
      <c r="F207" s="44" t="s">
        <v>113</v>
      </c>
      <c r="G207" s="44"/>
      <c r="H207" s="101"/>
      <c r="I207" s="101">
        <v>6300</v>
      </c>
      <c r="J207" s="101">
        <f>SUM('C Class BJ64 OSE'!B3:B24)</f>
        <v>1208.91</v>
      </c>
      <c r="K207" s="45">
        <f>Table12[[#This Row],[Reconditioning costs]]+Table12[[#This Row],[Price]]</f>
        <v>7508.91</v>
      </c>
      <c r="L207" s="101"/>
      <c r="M207" s="109"/>
      <c r="N207" s="84"/>
    </row>
    <row r="208" ht="24" customHeight="1" spans="2:14" x14ac:dyDescent="0.25">
      <c r="B208" s="199">
        <v>46054</v>
      </c>
      <c r="C208" s="144">
        <v>46073</v>
      </c>
      <c r="D208" s="69" t="s">
        <v>399</v>
      </c>
      <c r="E208" s="69" t="s">
        <v>400</v>
      </c>
      <c r="F208" s="69" t="s">
        <v>129</v>
      </c>
      <c r="G208" s="95" t="s">
        <v>351</v>
      </c>
      <c r="H208" s="95"/>
      <c r="I208" s="95">
        <v>7900</v>
      </c>
      <c r="J208" s="95">
        <f>SUM('Passat PL18 KLM'!B3:B22)</f>
        <v>616.69</v>
      </c>
      <c r="K208" s="45">
        <f>Table12[[#This Row],[Reconditioning costs]]+Table12[[#This Row],[Price]]</f>
        <v>8516.69</v>
      </c>
      <c r="L208" s="200"/>
      <c r="M208" s="200"/>
      <c r="N208" s="174"/>
    </row>
    <row r="209" ht="24" customHeight="1" spans="2:14" x14ac:dyDescent="0.25">
      <c r="B209" s="199">
        <v>46054</v>
      </c>
      <c r="C209" s="226" t="s">
        <v>214</v>
      </c>
      <c r="D209" s="44" t="s">
        <v>215</v>
      </c>
      <c r="E209" s="77" t="s">
        <v>216</v>
      </c>
      <c r="F209" s="77" t="s">
        <v>110</v>
      </c>
      <c r="G209" s="77"/>
      <c r="H209" s="95"/>
      <c r="I209" s="95">
        <v>4000</v>
      </c>
      <c r="J209" s="95">
        <f>SUM('A6 DN14 WEP'!B3:B21)</f>
        <v>606.4100000000001</v>
      </c>
      <c r="K209" s="45">
        <f>Table12[[#This Row],[Reconditioning costs]]+Table12[[#This Row],[Price]]</f>
        <v>4606.41</v>
      </c>
      <c r="L209" s="95"/>
      <c r="M209" s="95"/>
      <c r="N209" s="174"/>
    </row>
    <row r="210" ht="24" customHeight="1" spans="2:14" x14ac:dyDescent="0.25">
      <c r="B210" s="199">
        <v>46054</v>
      </c>
      <c r="C210" s="159">
        <v>46077</v>
      </c>
      <c r="D210" s="63" t="s">
        <v>241</v>
      </c>
      <c r="E210" s="63" t="s">
        <v>242</v>
      </c>
      <c r="F210" s="77" t="s">
        <v>110</v>
      </c>
      <c r="G210" s="63"/>
      <c r="H210" s="63"/>
      <c r="I210" s="160">
        <v>7000</v>
      </c>
      <c r="J210" s="160">
        <f>SUM('Golf R VX16 XJU'!B3:B22)</f>
        <v>491.5</v>
      </c>
      <c r="K210" s="45">
        <f>Table12[[#This Row],[Reconditioning costs]]+Table12[[#This Row],[Price]]</f>
        <v>7491.5</v>
      </c>
      <c r="L210" s="160"/>
      <c r="M210" s="160"/>
      <c r="N210" s="63"/>
    </row>
    <row r="211" ht="24" customHeight="1" spans="2:14" x14ac:dyDescent="0.25">
      <c r="B211" s="199">
        <v>46054</v>
      </c>
      <c r="C211" s="159">
        <v>46077</v>
      </c>
      <c r="D211" s="63" t="s">
        <v>223</v>
      </c>
      <c r="E211" s="63" t="s">
        <v>401</v>
      </c>
      <c r="F211" s="63" t="s">
        <v>402</v>
      </c>
      <c r="G211" s="63"/>
      <c r="H211" s="63"/>
      <c r="I211" s="160">
        <v>4100</v>
      </c>
      <c r="J211" s="160">
        <f>SUM('A5 LJ13 UAC'!B3:B21)</f>
        <v>525.13</v>
      </c>
      <c r="K211" s="45">
        <f>Table12[[#This Row],[Reconditioning costs]]+Table12[[#This Row],[Price]]</f>
        <v>4625.13</v>
      </c>
      <c r="L211" s="160"/>
      <c r="M211" s="160"/>
      <c r="N211" s="63"/>
    </row>
    <row r="212" ht="24" customHeight="1" spans="2:14" x14ac:dyDescent="0.25">
      <c r="B212" s="199">
        <v>46054</v>
      </c>
      <c r="C212" s="159">
        <v>46080</v>
      </c>
      <c r="D212" s="62" t="s">
        <v>403</v>
      </c>
      <c r="E212" s="62" t="s">
        <v>404</v>
      </c>
      <c r="F212" s="62" t="s">
        <v>113</v>
      </c>
      <c r="G212" s="62"/>
      <c r="H212" s="62"/>
      <c r="I212" s="112">
        <v>6425</v>
      </c>
      <c r="J212" s="112">
        <f>SUM('Merc C200 HF64 PLZ'!B3:B23)</f>
        <v>664.8</v>
      </c>
      <c r="K212" s="45">
        <f>Table12[[#This Row],[Reconditioning costs]]+Table12[[#This Row],[Price]]</f>
        <v>7089.8</v>
      </c>
      <c r="L212" s="112"/>
      <c r="M212" s="112"/>
      <c r="N212" s="63"/>
    </row>
    <row r="213" ht="24" customHeight="1" spans="2:14" x14ac:dyDescent="0.25">
      <c r="B213" s="210">
        <v>46054</v>
      </c>
      <c r="C213" s="166"/>
      <c r="D213" s="71"/>
      <c r="E213" s="71"/>
      <c r="F213" s="71"/>
      <c r="G213" s="71"/>
      <c r="H213" s="71"/>
      <c r="I213" s="105"/>
      <c r="J213" s="105"/>
      <c r="K213" s="105"/>
      <c r="L213" s="105"/>
      <c r="M213" s="105"/>
      <c r="N213" s="72"/>
    </row>
    <row r="214" ht="26" customHeight="1" spans="2:14" x14ac:dyDescent="0.25">
      <c r="B214" s="199">
        <v>46082</v>
      </c>
      <c r="C214" s="144">
        <v>45989</v>
      </c>
      <c r="D214" s="122" t="s">
        <v>238</v>
      </c>
      <c r="E214" s="122" t="s">
        <v>239</v>
      </c>
      <c r="F214" s="122" t="s">
        <v>107</v>
      </c>
      <c r="G214" s="44" t="s">
        <v>359</v>
      </c>
      <c r="H214" s="152"/>
      <c r="I214" s="152">
        <v>3200</v>
      </c>
      <c r="J214" s="152">
        <f>SUM('Polo MF14 TUH'!B3:B142)</f>
        <v>1701.89</v>
      </c>
      <c r="K214" s="75">
        <f>SUM(H214:J214)</f>
        <v>4901.89</v>
      </c>
      <c r="L214" s="161"/>
      <c r="M214" s="161"/>
      <c r="N214" s="62"/>
    </row>
    <row r="215" ht="26" customHeight="1" spans="2:14" x14ac:dyDescent="0.25">
      <c r="B215" s="199">
        <v>46082</v>
      </c>
      <c r="C215" s="144">
        <v>46003</v>
      </c>
      <c r="D215" s="44" t="s">
        <v>384</v>
      </c>
      <c r="E215" s="44" t="s">
        <v>385</v>
      </c>
      <c r="F215" s="44" t="s">
        <v>125</v>
      </c>
      <c r="G215" s="44" t="s">
        <v>377</v>
      </c>
      <c r="H215" s="152"/>
      <c r="I215" s="152">
        <v>5000</v>
      </c>
      <c r="J215" s="152">
        <f>SUM('Audi A7 OV61 WKH'!B3:B151)</f>
        <v>2573.46</v>
      </c>
      <c r="K215" s="75">
        <f>SUM(I215:J215)</f>
        <v>7573.46</v>
      </c>
      <c r="L215" s="161"/>
      <c r="M215" s="161"/>
      <c r="N215" s="62"/>
    </row>
    <row r="216" ht="26" customHeight="1" spans="2:14" x14ac:dyDescent="0.25">
      <c r="B216" s="198">
        <v>46082</v>
      </c>
      <c r="C216" s="149">
        <v>46006</v>
      </c>
      <c r="D216" s="150" t="s">
        <v>203</v>
      </c>
      <c r="E216" s="150" t="s">
        <v>148</v>
      </c>
      <c r="F216" s="150" t="s">
        <v>129</v>
      </c>
      <c r="G216" s="150" t="s">
        <v>359</v>
      </c>
      <c r="H216" s="133"/>
      <c r="I216" s="133">
        <v>5500</v>
      </c>
      <c r="J216" s="133">
        <f>SUM('Audi A3 LG61 RTV'!B3:B96)</f>
        <v>993.7</v>
      </c>
      <c r="K216" s="52">
        <f>SUM(I216:J216)</f>
        <v>6493.7</v>
      </c>
      <c r="L216" s="183">
        <v>8500</v>
      </c>
      <c r="M216" s="52">
        <f>L216-SUM(I216:J216)</f>
        <v>2006.3000000000002</v>
      </c>
      <c r="N216" s="227" t="s">
        <v>29</v>
      </c>
    </row>
    <row r="217" ht="26" customHeight="1" spans="2:14" x14ac:dyDescent="0.25">
      <c r="B217" s="198">
        <v>46082</v>
      </c>
      <c r="C217" s="192">
        <v>46007</v>
      </c>
      <c r="D217" s="193" t="s">
        <v>235</v>
      </c>
      <c r="E217" s="193" t="s">
        <v>122</v>
      </c>
      <c r="F217" s="193" t="s">
        <v>107</v>
      </c>
      <c r="G217" s="193" t="s">
        <v>359</v>
      </c>
      <c r="H217" s="228"/>
      <c r="I217" s="228">
        <v>900</v>
      </c>
      <c r="J217" s="228">
        <f>SUM('Fiat 500 LK15'!B3:B69)</f>
        <v>3114.6099999999997</v>
      </c>
      <c r="K217" s="229">
        <f>Table12[[#This Row],[Reconditioning costs]]+Table12[[#This Row],[Price]]</f>
        <v>4014.6099999999997</v>
      </c>
      <c r="L217" s="230">
        <v>6800</v>
      </c>
      <c r="M217" s="52">
        <f>L217-SUM(I217:J217)</f>
        <v>2785.3900000000003</v>
      </c>
      <c r="N217" s="227" t="s">
        <v>29</v>
      </c>
    </row>
    <row r="218" ht="26" customHeight="1" spans="2:14" x14ac:dyDescent="0.25">
      <c r="B218" s="198">
        <v>46082</v>
      </c>
      <c r="C218" s="192">
        <v>46022</v>
      </c>
      <c r="D218" s="193" t="s">
        <v>225</v>
      </c>
      <c r="E218" s="193" t="s">
        <v>226</v>
      </c>
      <c r="F218" s="193" t="s">
        <v>129</v>
      </c>
      <c r="G218" s="193" t="s">
        <v>359</v>
      </c>
      <c r="H218" s="228"/>
      <c r="I218" s="228">
        <v>5200</v>
      </c>
      <c r="J218" s="228">
        <f>SUM('Mitsubishi DN16 YXF'!B3:B103)</f>
        <v>1297.8799999999999</v>
      </c>
      <c r="K218" s="229">
        <f>Table12[[#This Row],[Reconditioning costs]]+Table12[[#This Row],[Price]]</f>
        <v>6497.88</v>
      </c>
      <c r="L218" s="183">
        <v>8650</v>
      </c>
      <c r="M218" s="52">
        <f>L218-SUM(I218:J218)</f>
        <v>2152.12</v>
      </c>
      <c r="N218" s="227" t="s">
        <v>29</v>
      </c>
    </row>
    <row r="219" ht="26" customHeight="1" spans="2:14" x14ac:dyDescent="0.25">
      <c r="B219" s="199">
        <v>46082</v>
      </c>
      <c r="C219" s="190">
        <v>46032</v>
      </c>
      <c r="D219" s="115" t="s">
        <v>386</v>
      </c>
      <c r="E219" s="115" t="s">
        <v>387</v>
      </c>
      <c r="F219" s="115" t="s">
        <v>107</v>
      </c>
      <c r="G219" s="115" t="s">
        <v>359</v>
      </c>
      <c r="H219" s="231"/>
      <c r="I219" s="232">
        <v>4950</v>
      </c>
      <c r="J219" s="232">
        <f>SUM('Suzuki Swift YB68 XYT'!B3:B87)</f>
        <v>424.73</v>
      </c>
      <c r="K219" s="75">
        <f>Table12[[#This Row],[Reconditioning costs]]+Table12[[#This Row],[Price]]</f>
        <v>5374.73</v>
      </c>
      <c r="L219" s="161"/>
      <c r="M219" s="161"/>
      <c r="N219" s="62"/>
    </row>
    <row r="220" ht="26" customHeight="1" spans="2:14" x14ac:dyDescent="0.25">
      <c r="B220" s="199">
        <v>46082</v>
      </c>
      <c r="C220" s="206">
        <v>46033</v>
      </c>
      <c r="D220" s="115" t="s">
        <v>388</v>
      </c>
      <c r="E220" s="205" t="s">
        <v>389</v>
      </c>
      <c r="F220" s="205" t="s">
        <v>125</v>
      </c>
      <c r="G220" s="115" t="s">
        <v>377</v>
      </c>
      <c r="H220" s="233"/>
      <c r="I220" s="234">
        <v>5665.88</v>
      </c>
      <c r="J220" s="234">
        <f>SUM('BMW 120D PE65 LXZ'!B3:B74)</f>
        <v>862.8499999999999</v>
      </c>
      <c r="K220" s="75">
        <f>Table12[[#This Row],[Reconditioning costs]]+Table12[[#This Row],[Price]]</f>
        <v>6528.73</v>
      </c>
      <c r="L220" s="161"/>
      <c r="M220" s="161"/>
      <c r="N220" s="62"/>
    </row>
    <row r="221" ht="26" customHeight="1" spans="2:14" x14ac:dyDescent="0.25">
      <c r="B221" s="198">
        <v>46082</v>
      </c>
      <c r="C221" s="149">
        <v>46050</v>
      </c>
      <c r="D221" s="150" t="s">
        <v>236</v>
      </c>
      <c r="E221" s="150" t="s">
        <v>237</v>
      </c>
      <c r="F221" s="150" t="s">
        <v>129</v>
      </c>
      <c r="G221" s="193" t="s">
        <v>359</v>
      </c>
      <c r="H221" s="230"/>
      <c r="I221" s="230">
        <v>5500</v>
      </c>
      <c r="J221" s="230">
        <f>SUM('Ford Mondeo DG68'!B3:B80)</f>
        <v>897.64</v>
      </c>
      <c r="K221" s="229">
        <f>Table12[[#This Row],[Reconditioning costs]]+Table12[[#This Row],[Price]]</f>
        <v>6397.64</v>
      </c>
      <c r="L221" s="230">
        <v>8695</v>
      </c>
      <c r="M221" s="52">
        <f>L221-SUM(I221:J221)</f>
        <v>2297.3599999999997</v>
      </c>
      <c r="N221" s="227" t="s">
        <v>29</v>
      </c>
    </row>
    <row r="222" ht="26" customHeight="1" spans="2:14" x14ac:dyDescent="0.25">
      <c r="B222" s="198">
        <v>46082</v>
      </c>
      <c r="C222" s="149">
        <v>46050</v>
      </c>
      <c r="D222" s="150" t="s">
        <v>205</v>
      </c>
      <c r="E222" s="150" t="s">
        <v>206</v>
      </c>
      <c r="F222" s="150" t="s">
        <v>107</v>
      </c>
      <c r="G222" s="193" t="s">
        <v>377</v>
      </c>
      <c r="H222" s="133">
        <v>5500</v>
      </c>
      <c r="I222" s="133">
        <v>5300</v>
      </c>
      <c r="J222" s="133">
        <f>SUM('BMW 518D PG66'!B3:B89)</f>
        <v>1088.24</v>
      </c>
      <c r="K222" s="52">
        <f>Table12[[#This Row],[Reconditioning costs]]+Table12[[#This Row],[Price]]</f>
        <v>6388.24</v>
      </c>
      <c r="L222" s="183">
        <v>2295</v>
      </c>
      <c r="M222" s="52">
        <f>L222-SUM(I222:J222)</f>
        <v>-4093.24</v>
      </c>
      <c r="N222" s="227" t="s">
        <v>29</v>
      </c>
    </row>
    <row r="223" ht="26" customHeight="1" spans="2:14" x14ac:dyDescent="0.25">
      <c r="B223" s="199">
        <v>46082</v>
      </c>
      <c r="C223" s="144">
        <v>46051</v>
      </c>
      <c r="D223" s="44" t="s">
        <v>390</v>
      </c>
      <c r="E223" s="44" t="s">
        <v>391</v>
      </c>
      <c r="F223" s="44" t="s">
        <v>107</v>
      </c>
      <c r="G223" s="115" t="s">
        <v>359</v>
      </c>
      <c r="H223" s="145"/>
      <c r="I223" s="152">
        <v>3850</v>
      </c>
      <c r="J223" s="152">
        <f>SUM('BMW 328i YB61'!B3:B195)</f>
        <v>2836.6800000000003</v>
      </c>
      <c r="K223" s="75">
        <f>Table12[[#This Row],[Reconditioning costs]]+Table12[[#This Row],[Price]]</f>
        <v>6686.68</v>
      </c>
      <c r="L223" s="161"/>
      <c r="M223" s="161"/>
      <c r="N223" s="62"/>
    </row>
    <row r="224" ht="26" customHeight="1" spans="2:14" x14ac:dyDescent="0.25">
      <c r="B224" s="199">
        <v>46082</v>
      </c>
      <c r="C224" s="144">
        <v>46054</v>
      </c>
      <c r="D224" s="43" t="s">
        <v>254</v>
      </c>
      <c r="E224" s="43" t="s">
        <v>255</v>
      </c>
      <c r="F224" s="43" t="s">
        <v>107</v>
      </c>
      <c r="G224" s="43" t="s">
        <v>393</v>
      </c>
      <c r="H224" s="152">
        <v>4000</v>
      </c>
      <c r="I224" s="152"/>
      <c r="J224" s="152">
        <f>SUM('Fabia GN66 YWZ PX'!B3:B64)</f>
        <v>122.46000000000001</v>
      </c>
      <c r="K224" s="75">
        <f>SUM(Table12[[#This Row],[Reconditioning costs]],Table12[[#This Row],[PX Value]])</f>
        <v>4122.46</v>
      </c>
      <c r="L224" s="161"/>
      <c r="M224" s="161"/>
      <c r="N224" s="62"/>
    </row>
    <row r="225" ht="26" customHeight="1" spans="2:14" x14ac:dyDescent="0.25">
      <c r="B225" s="198">
        <v>46082</v>
      </c>
      <c r="C225" s="149">
        <v>46055</v>
      </c>
      <c r="D225" s="235" t="s">
        <v>221</v>
      </c>
      <c r="E225" s="235" t="s">
        <v>128</v>
      </c>
      <c r="F225" s="235" t="s">
        <v>110</v>
      </c>
      <c r="G225" s="235" t="s">
        <v>377</v>
      </c>
      <c r="H225" s="133"/>
      <c r="I225" s="133">
        <v>4925</v>
      </c>
      <c r="J225" s="133">
        <f>SUM('A5 WJ62 UVS'!B3:B64)</f>
        <v>1022.61</v>
      </c>
      <c r="K225" s="52">
        <f>Table12[[#This Row],[Reconditioning costs]]+Table12[[#This Row],[Price]]</f>
        <v>5947.61</v>
      </c>
      <c r="L225" s="183">
        <v>7495</v>
      </c>
      <c r="M225" s="52">
        <f>L225-SUM(I225:J225)</f>
        <v>1547.3900000000003</v>
      </c>
      <c r="N225" s="227" t="s">
        <v>29</v>
      </c>
    </row>
    <row r="226" ht="26" customHeight="1" spans="2:14" x14ac:dyDescent="0.25">
      <c r="B226" s="198">
        <v>46082</v>
      </c>
      <c r="C226" s="149">
        <v>46059</v>
      </c>
      <c r="D226" s="235" t="s">
        <v>208</v>
      </c>
      <c r="E226" s="235" t="s">
        <v>209</v>
      </c>
      <c r="F226" s="235" t="s">
        <v>125</v>
      </c>
      <c r="G226" s="235"/>
      <c r="H226" s="222"/>
      <c r="I226" s="133">
        <v>4500</v>
      </c>
      <c r="J226" s="133">
        <f>SUM('Mazda CX5 EJ14 PTX'!B3:B58)</f>
        <v>836.2800000000001</v>
      </c>
      <c r="K226" s="52">
        <f>Table12[[#This Row],[Reconditioning costs]]+Table12[[#This Row],[Price]]</f>
        <v>5336.28</v>
      </c>
      <c r="L226" s="183">
        <v>7200</v>
      </c>
      <c r="M226" s="52">
        <f>L226-SUM(I226:J226)</f>
        <v>1863.7200000000003</v>
      </c>
      <c r="N226" s="227" t="s">
        <v>29</v>
      </c>
    </row>
    <row r="227" ht="26" customHeight="1" spans="2:14" x14ac:dyDescent="0.25">
      <c r="B227" s="199">
        <v>46082</v>
      </c>
      <c r="C227" s="144">
        <v>46060</v>
      </c>
      <c r="D227" s="43" t="s">
        <v>394</v>
      </c>
      <c r="E227" s="43" t="s">
        <v>395</v>
      </c>
      <c r="F227" s="43" t="s">
        <v>113</v>
      </c>
      <c r="G227" s="43"/>
      <c r="H227" s="236"/>
      <c r="I227" s="152">
        <v>5700</v>
      </c>
      <c r="J227" s="152">
        <f>SUM('BMW 318D S88 RDF'!B3:B52)</f>
        <v>1043.575</v>
      </c>
      <c r="K227" s="75">
        <f>Table12[[#This Row],[Reconditioning costs]]+Table12[[#This Row],[Price]]</f>
        <v>6743.575</v>
      </c>
      <c r="L227" s="161"/>
      <c r="M227" s="161"/>
      <c r="N227" s="62"/>
    </row>
    <row r="228" ht="26" customHeight="1" spans="2:14" x14ac:dyDescent="0.25">
      <c r="B228" s="199">
        <v>46082</v>
      </c>
      <c r="C228" s="144">
        <v>46060</v>
      </c>
      <c r="D228" s="43" t="s">
        <v>396</v>
      </c>
      <c r="E228" s="43" t="s">
        <v>180</v>
      </c>
      <c r="F228" s="43" t="s">
        <v>113</v>
      </c>
      <c r="G228" s="43"/>
      <c r="H228" s="236"/>
      <c r="I228" s="152">
        <v>5500</v>
      </c>
      <c r="J228" s="152">
        <f>SUM('P2008 LS66 SVA'!B3:B65)</f>
        <v>592.52</v>
      </c>
      <c r="K228" s="75">
        <f>Table12[[#This Row],[Reconditioning costs]]+Table12[[#This Row],[Price]]</f>
        <v>6092.52</v>
      </c>
      <c r="L228" s="161"/>
      <c r="M228" s="161"/>
      <c r="N228" s="62"/>
    </row>
    <row r="229" ht="26" customHeight="1" spans="2:14" x14ac:dyDescent="0.25">
      <c r="B229" s="198">
        <v>46082</v>
      </c>
      <c r="C229" s="149">
        <v>46062</v>
      </c>
      <c r="D229" s="150" t="s">
        <v>211</v>
      </c>
      <c r="E229" s="150" t="s">
        <v>212</v>
      </c>
      <c r="F229" s="150" t="s">
        <v>129</v>
      </c>
      <c r="G229" s="150"/>
      <c r="H229" s="150"/>
      <c r="I229" s="183">
        <v>6700</v>
      </c>
      <c r="J229" s="183">
        <f>SUM('CLA FV14 MYL'!B3:B52)</f>
        <v>1531.48</v>
      </c>
      <c r="K229" s="52">
        <f>Table12[[#This Row],[Reconditioning costs]]+Table12[[#This Row],[Price]]</f>
        <v>8231.48</v>
      </c>
      <c r="L229" s="183">
        <v>10995</v>
      </c>
      <c r="M229" s="52">
        <f>L229-SUM(I229:J229)</f>
        <v>2763.5200000000004</v>
      </c>
      <c r="N229" s="227" t="s">
        <v>29</v>
      </c>
    </row>
    <row r="230" ht="26" customHeight="1" spans="2:14" x14ac:dyDescent="0.25">
      <c r="B230" s="198">
        <v>46082</v>
      </c>
      <c r="C230" s="149">
        <v>46066</v>
      </c>
      <c r="D230" s="150" t="s">
        <v>228</v>
      </c>
      <c r="E230" s="150" t="s">
        <v>229</v>
      </c>
      <c r="F230" s="150" t="s">
        <v>129</v>
      </c>
      <c r="G230" s="150"/>
      <c r="H230" s="237"/>
      <c r="I230" s="230">
        <v>4900</v>
      </c>
      <c r="J230" s="230">
        <f>SUM('Polo GTI VK62 THV'!B3:B65)</f>
        <v>610.52</v>
      </c>
      <c r="K230" s="229">
        <f>Table12[[#This Row],[Reconditioning costs]]+Table12[[#This Row],[Price]]</f>
        <v>5510.52</v>
      </c>
      <c r="L230" s="230">
        <v>7795</v>
      </c>
      <c r="M230" s="52">
        <f>L230-SUM(I230:J230)</f>
        <v>2284.4799999999996</v>
      </c>
      <c r="N230" s="227" t="s">
        <v>29</v>
      </c>
    </row>
    <row r="231" ht="26" customHeight="1" spans="2:14" x14ac:dyDescent="0.25">
      <c r="B231" s="199">
        <v>46082</v>
      </c>
      <c r="C231" s="144">
        <v>46067</v>
      </c>
      <c r="D231" s="44" t="s">
        <v>249</v>
      </c>
      <c r="E231" s="44" t="s">
        <v>70</v>
      </c>
      <c r="F231" s="44" t="s">
        <v>107</v>
      </c>
      <c r="G231" s="44" t="s">
        <v>393</v>
      </c>
      <c r="H231" s="152">
        <v>2800</v>
      </c>
      <c r="I231" s="152"/>
      <c r="J231" s="152">
        <f>SUM('Fiesta FN62HKO'!B3:B48)</f>
        <v>240.07999999999998</v>
      </c>
      <c r="K231" s="75">
        <f>Table12[[#This Row],[Reconditioning costs]]+Table12[[#This Row],[Price]]</f>
        <v>240.07999999999998</v>
      </c>
      <c r="L231" s="161"/>
      <c r="M231" s="161"/>
      <c r="N231" s="62"/>
    </row>
    <row r="232" ht="26" customHeight="1" spans="2:14" x14ac:dyDescent="0.25">
      <c r="B232" s="199">
        <v>46082</v>
      </c>
      <c r="C232" s="144">
        <v>46071</v>
      </c>
      <c r="D232" s="44" t="s">
        <v>244</v>
      </c>
      <c r="E232" s="44" t="s">
        <v>245</v>
      </c>
      <c r="F232" s="44" t="s">
        <v>107</v>
      </c>
      <c r="G232" s="44"/>
      <c r="H232" s="152"/>
      <c r="I232" s="152">
        <v>6400</v>
      </c>
      <c r="J232" s="152">
        <f>SUM('GOLF RJ14 YZN'!B3:B52)</f>
        <v>593.2199999999999</v>
      </c>
      <c r="K232" s="75">
        <f>Table12[[#This Row],[Reconditioning costs]]+Table12[[#This Row],[Price]]</f>
        <v>6993.22</v>
      </c>
      <c r="L232" s="161"/>
      <c r="M232" s="161"/>
      <c r="N232" s="62"/>
    </row>
    <row r="233" ht="26" customHeight="1" spans="2:14" x14ac:dyDescent="0.25">
      <c r="B233" s="199">
        <v>46082</v>
      </c>
      <c r="C233" s="144">
        <v>46071</v>
      </c>
      <c r="D233" s="115" t="s">
        <v>397</v>
      </c>
      <c r="E233" s="115" t="s">
        <v>229</v>
      </c>
      <c r="F233" s="115" t="s">
        <v>107</v>
      </c>
      <c r="G233" s="115"/>
      <c r="H233" s="232"/>
      <c r="I233" s="232">
        <v>4150</v>
      </c>
      <c r="J233" s="152">
        <f>SUM('POLO GTI BK61 SWZ'!B3:B56)</f>
        <v>629.49</v>
      </c>
      <c r="K233" s="75">
        <f>Table12[[#This Row],[Reconditioning costs]]+Table12[[#This Row],[Price]]</f>
        <v>4779.49</v>
      </c>
      <c r="L233" s="161"/>
      <c r="M233" s="161"/>
      <c r="N233" s="62"/>
    </row>
    <row r="234" ht="26" customHeight="1" spans="2:14" x14ac:dyDescent="0.25">
      <c r="B234" s="199">
        <v>46082</v>
      </c>
      <c r="C234" s="144">
        <v>46071</v>
      </c>
      <c r="D234" s="44" t="s">
        <v>398</v>
      </c>
      <c r="E234" s="44" t="s">
        <v>146</v>
      </c>
      <c r="F234" s="44" t="s">
        <v>106</v>
      </c>
      <c r="G234" s="44"/>
      <c r="H234" s="152"/>
      <c r="I234" s="152">
        <v>4400</v>
      </c>
      <c r="J234" s="152">
        <f>SUM('Mazda 6 WA13XCV'!B3:B57)</f>
        <v>1158.93</v>
      </c>
      <c r="K234" s="75">
        <f>Table12[[#This Row],[Reconditioning costs]]+Table12[[#This Row],[Price]]</f>
        <v>5558.93</v>
      </c>
      <c r="L234" s="161"/>
      <c r="M234" s="161"/>
      <c r="N234" s="62"/>
    </row>
    <row r="235" ht="26" customHeight="1" spans="2:14" x14ac:dyDescent="0.25">
      <c r="B235" s="198">
        <v>46082</v>
      </c>
      <c r="C235" s="149">
        <v>46073</v>
      </c>
      <c r="D235" s="150" t="s">
        <v>218</v>
      </c>
      <c r="E235" s="150" t="s">
        <v>219</v>
      </c>
      <c r="F235" s="150" t="s">
        <v>113</v>
      </c>
      <c r="G235" s="150"/>
      <c r="H235" s="183"/>
      <c r="I235" s="183">
        <v>6300</v>
      </c>
      <c r="J235" s="183">
        <f>SUM('C Class BJ64 OSE'!B3:B52)</f>
        <v>1208.91</v>
      </c>
      <c r="K235" s="52">
        <f>Table12[[#This Row],[Reconditioning costs]]+Table12[[#This Row],[Price]]</f>
        <v>7508.91</v>
      </c>
      <c r="L235" s="183">
        <v>10800</v>
      </c>
      <c r="M235" s="52">
        <f>L235-SUM(I235:J235)</f>
        <v>3291.09</v>
      </c>
      <c r="N235" s="227" t="s">
        <v>29</v>
      </c>
    </row>
    <row r="236" ht="26" customHeight="1" spans="2:14" x14ac:dyDescent="0.25">
      <c r="B236" s="199">
        <v>46082</v>
      </c>
      <c r="C236" s="144">
        <v>46073</v>
      </c>
      <c r="D236" s="86" t="s">
        <v>399</v>
      </c>
      <c r="E236" s="86" t="s">
        <v>400</v>
      </c>
      <c r="F236" s="86" t="s">
        <v>129</v>
      </c>
      <c r="G236" s="101" t="s">
        <v>351</v>
      </c>
      <c r="H236" s="152"/>
      <c r="I236" s="152">
        <v>7900</v>
      </c>
      <c r="J236" s="152">
        <f>SUM('Passat PL18 KLM'!B3:B50)</f>
        <v>616.69</v>
      </c>
      <c r="K236" s="75">
        <f>Table12[[#This Row],[Reconditioning costs]]+Table12[[#This Row],[Price]]</f>
        <v>8516.69</v>
      </c>
      <c r="L236" s="161"/>
      <c r="M236" s="161"/>
      <c r="N236" s="62"/>
    </row>
    <row r="237" ht="26" customHeight="1" spans="2:14" x14ac:dyDescent="0.25">
      <c r="B237" s="198">
        <v>46082</v>
      </c>
      <c r="C237" s="149" t="s">
        <v>214</v>
      </c>
      <c r="D237" s="150" t="s">
        <v>215</v>
      </c>
      <c r="E237" s="150" t="s">
        <v>216</v>
      </c>
      <c r="F237" s="150" t="s">
        <v>110</v>
      </c>
      <c r="G237" s="150"/>
      <c r="H237" s="133"/>
      <c r="I237" s="133">
        <v>4000</v>
      </c>
      <c r="J237" s="133">
        <f>SUM('A6 DN14 WEP'!B3:B49)</f>
        <v>606.4100000000001</v>
      </c>
      <c r="K237" s="52">
        <f>Table12[[#This Row],[Reconditioning costs]]+Table12[[#This Row],[Price]]</f>
        <v>4606.41</v>
      </c>
      <c r="L237" s="183">
        <v>7495</v>
      </c>
      <c r="M237" s="52">
        <f>L237-SUM(I237:J237)</f>
        <v>2888.59</v>
      </c>
      <c r="N237" s="227" t="s">
        <v>29</v>
      </c>
    </row>
    <row r="238" ht="26" customHeight="1" spans="2:14" x14ac:dyDescent="0.25">
      <c r="B238" s="199">
        <v>46082</v>
      </c>
      <c r="C238" s="159">
        <v>46077</v>
      </c>
      <c r="D238" s="62" t="s">
        <v>241</v>
      </c>
      <c r="E238" s="62" t="s">
        <v>242</v>
      </c>
      <c r="F238" s="44" t="s">
        <v>110</v>
      </c>
      <c r="G238" s="62"/>
      <c r="H238" s="67"/>
      <c r="I238" s="161">
        <v>7000</v>
      </c>
      <c r="J238" s="161">
        <f>SUM('Golf R VX16 XJU'!B3:B50)</f>
        <v>491.5</v>
      </c>
      <c r="K238" s="75">
        <f>Table12[[#This Row],[Reconditioning costs]]+Table12[[#This Row],[Price]]</f>
        <v>7491.5</v>
      </c>
      <c r="L238" s="161"/>
      <c r="M238" s="161"/>
      <c r="N238" s="62"/>
    </row>
    <row r="239" ht="26" customHeight="1" spans="2:14" x14ac:dyDescent="0.25">
      <c r="B239" s="198">
        <v>46082</v>
      </c>
      <c r="C239" s="149">
        <v>46077</v>
      </c>
      <c r="D239" s="150" t="s">
        <v>223</v>
      </c>
      <c r="E239" s="150" t="s">
        <v>401</v>
      </c>
      <c r="F239" s="150" t="s">
        <v>402</v>
      </c>
      <c r="G239" s="150"/>
      <c r="H239" s="237"/>
      <c r="I239" s="230">
        <v>4100</v>
      </c>
      <c r="J239" s="230">
        <f>SUM('A5 LJ13 UAC'!B3:B49)</f>
        <v>525.13</v>
      </c>
      <c r="K239" s="229">
        <f>Table12[[#This Row],[Reconditioning costs]]+Table12[[#This Row],[Price]]</f>
        <v>4625.13</v>
      </c>
      <c r="L239" s="183">
        <v>7250</v>
      </c>
      <c r="M239" s="52">
        <f>L239-SUM(I239:J239)</f>
        <v>2624.87</v>
      </c>
      <c r="N239" s="227" t="s">
        <v>29</v>
      </c>
    </row>
    <row r="240" ht="26" customHeight="1" spans="2:14" x14ac:dyDescent="0.25">
      <c r="B240" s="199">
        <v>46082</v>
      </c>
      <c r="C240" s="159">
        <v>46080</v>
      </c>
      <c r="D240" s="62" t="s">
        <v>403</v>
      </c>
      <c r="E240" s="62" t="s">
        <v>404</v>
      </c>
      <c r="F240" s="62" t="s">
        <v>113</v>
      </c>
      <c r="G240" s="62"/>
      <c r="H240" s="67"/>
      <c r="I240" s="161">
        <v>6425</v>
      </c>
      <c r="J240" s="161">
        <f>SUM('Merc C200 HF64 PLZ'!B3:B51)</f>
        <v>664.8</v>
      </c>
      <c r="K240" s="75">
        <f>Table12[[#This Row],[Reconditioning costs]]+Table12[[#This Row],[Price]]</f>
        <v>7089.8</v>
      </c>
      <c r="L240" s="161"/>
      <c r="M240" s="161"/>
      <c r="N240" s="62"/>
    </row>
    <row r="241" ht="26" customHeight="1" spans="2:14" x14ac:dyDescent="0.25">
      <c r="B241" s="199">
        <v>46082</v>
      </c>
      <c r="C241" s="159">
        <v>46080</v>
      </c>
      <c r="D241" s="62" t="s">
        <v>405</v>
      </c>
      <c r="E241" s="62" t="s">
        <v>406</v>
      </c>
      <c r="F241" s="62" t="s">
        <v>113</v>
      </c>
      <c r="G241" s="62"/>
      <c r="H241" s="67"/>
      <c r="I241" s="161">
        <v>6000</v>
      </c>
      <c r="J241" s="161">
        <f>SUM('Q5 KM62 XFN'!B3:B21)</f>
        <v>605.9</v>
      </c>
      <c r="K241" s="75">
        <f>Table12[[#This Row],[Reconditioning costs]]+Table12[[#This Row],[Price]]</f>
        <v>6605.9</v>
      </c>
      <c r="L241" s="161"/>
      <c r="M241" s="161"/>
      <c r="N241" s="62"/>
    </row>
    <row r="242" ht="26" customHeight="1" spans="2:14" x14ac:dyDescent="0.25">
      <c r="B242" s="198">
        <v>46082</v>
      </c>
      <c r="C242" s="149">
        <v>46085</v>
      </c>
      <c r="D242" s="150" t="s">
        <v>232</v>
      </c>
      <c r="E242" s="150" t="s">
        <v>233</v>
      </c>
      <c r="F242" s="150" t="s">
        <v>107</v>
      </c>
      <c r="G242" s="150"/>
      <c r="H242" s="230">
        <v>5500</v>
      </c>
      <c r="I242" s="230">
        <v>3093.24</v>
      </c>
      <c r="J242" s="230">
        <f>SUM('520D SA14 SYO'!B3:B24)</f>
        <v>292.28999999999996</v>
      </c>
      <c r="K242" s="229">
        <f>Table12[[#This Row],[Reconditioning costs]]+Table12[[#This Row],[Price]]</f>
        <v>3385.5299999999997</v>
      </c>
      <c r="L242" s="183">
        <v>7989.29</v>
      </c>
      <c r="M242" s="52">
        <f>L242-SUM(I242:J242)</f>
        <v>4603.76</v>
      </c>
      <c r="N242" s="227" t="s">
        <v>29</v>
      </c>
    </row>
    <row r="243" ht="26" customHeight="1" spans="2:14" x14ac:dyDescent="0.25">
      <c r="B243" s="199">
        <v>46082</v>
      </c>
      <c r="C243" s="159">
        <v>46090</v>
      </c>
      <c r="D243" s="62" t="s">
        <v>407</v>
      </c>
      <c r="E243" s="62" t="s">
        <v>233</v>
      </c>
      <c r="F243" s="62" t="s">
        <v>107</v>
      </c>
      <c r="G243" s="62"/>
      <c r="H243" s="161"/>
      <c r="I243" s="161">
        <v>7100</v>
      </c>
      <c r="J243" s="161">
        <f>SUM('520D YK66 DWU'!B3:B16)</f>
        <v>852.26</v>
      </c>
      <c r="K243" s="75">
        <f>Table12[[#This Row],[Reconditioning costs]]+Table12[[#This Row],[Price]]</f>
        <v>7952.26</v>
      </c>
      <c r="L243" s="161"/>
      <c r="M243" s="161"/>
      <c r="N243" s="62"/>
    </row>
    <row r="244" ht="26" customHeight="1" spans="2:14" x14ac:dyDescent="0.25">
      <c r="B244" s="199">
        <v>46082</v>
      </c>
      <c r="C244" s="159">
        <v>46093</v>
      </c>
      <c r="D244" s="62" t="s">
        <v>408</v>
      </c>
      <c r="E244" s="62" t="s">
        <v>233</v>
      </c>
      <c r="F244" s="62" t="s">
        <v>392</v>
      </c>
      <c r="G244" s="62"/>
      <c r="H244" s="161"/>
      <c r="I244" s="161">
        <v>5300</v>
      </c>
      <c r="J244" s="161">
        <f>SUM('520D CF15 OWA'!B3:B17)</f>
        <v>702.8</v>
      </c>
      <c r="K244" s="75">
        <f>Table12[[#This Row],[Reconditioning costs]]+Table12[[#This Row],[Price]]</f>
        <v>6002.8</v>
      </c>
      <c r="L244" s="161"/>
      <c r="M244" s="161"/>
      <c r="N244" s="62"/>
    </row>
    <row r="245" ht="26" customHeight="1" spans="2:14" x14ac:dyDescent="0.25">
      <c r="B245" s="199">
        <v>46082</v>
      </c>
      <c r="C245" s="159">
        <v>46096</v>
      </c>
      <c r="D245" s="62" t="s">
        <v>409</v>
      </c>
      <c r="E245" s="62" t="s">
        <v>134</v>
      </c>
      <c r="F245" s="62" t="s">
        <v>402</v>
      </c>
      <c r="G245" s="62" t="s">
        <v>365</v>
      </c>
      <c r="H245" s="161"/>
      <c r="I245" s="161">
        <v>4800</v>
      </c>
      <c r="J245" s="161">
        <f>SUM('Audi A4 BG63 VYM'!B3:B11)</f>
        <v>295.15999999999997</v>
      </c>
      <c r="K245" s="161">
        <f>Table12[[#This Row],[Price]]+Table12[[#This Row],[Reconditioning costs]]</f>
        <v>5095.16</v>
      </c>
      <c r="L245" s="161"/>
      <c r="M245" s="161"/>
      <c r="N245" s="62"/>
    </row>
    <row r="246" ht="26" customHeight="1" spans="2:14" x14ac:dyDescent="0.25">
      <c r="B246" s="199">
        <v>46082</v>
      </c>
      <c r="C246" s="159">
        <v>46099</v>
      </c>
      <c r="D246" s="62" t="s">
        <v>251</v>
      </c>
      <c r="E246" s="62" t="s">
        <v>252</v>
      </c>
      <c r="F246" s="62" t="s">
        <v>113</v>
      </c>
      <c r="G246" s="62" t="s">
        <v>377</v>
      </c>
      <c r="H246" s="161"/>
      <c r="I246" s="161">
        <v>7300</v>
      </c>
      <c r="J246" s="161">
        <f>SUM('CLA 220 KU67 PWY'!B3:B17)</f>
        <v>644.275</v>
      </c>
      <c r="K246" s="161">
        <f>Table12[[#This Row],[Price]]+Table12[[#This Row],[Reconditioning costs]]</f>
        <v>7944.275</v>
      </c>
      <c r="L246" s="161"/>
      <c r="M246" s="161"/>
      <c r="N246" s="62"/>
    </row>
    <row r="247" ht="26" customHeight="1" spans="2:14" x14ac:dyDescent="0.25">
      <c r="B247" s="199">
        <v>46082</v>
      </c>
      <c r="C247" s="159">
        <v>46099</v>
      </c>
      <c r="D247" s="119" t="s">
        <v>410</v>
      </c>
      <c r="E247" s="119" t="s">
        <v>411</v>
      </c>
      <c r="F247" s="119" t="s">
        <v>110</v>
      </c>
      <c r="G247" s="119"/>
      <c r="H247" s="238"/>
      <c r="I247" s="239">
        <v>5850</v>
      </c>
      <c r="J247" s="239">
        <f>SUM('Mazda 3 FY67 WDE'!B3:B27)</f>
        <v>851.75</v>
      </c>
      <c r="K247" s="161">
        <f>Table12[[#This Row],[Price]]+Table12[[#This Row],[Reconditioning costs]]</f>
        <v>6701.75</v>
      </c>
      <c r="L247" s="239"/>
      <c r="M247" s="238"/>
      <c r="N247" s="240"/>
    </row>
    <row r="248" ht="26" customHeight="1" spans="2:14" x14ac:dyDescent="0.25">
      <c r="B248" s="199">
        <v>46082</v>
      </c>
      <c r="C248" s="159">
        <v>46100</v>
      </c>
      <c r="D248" s="119" t="s">
        <v>230</v>
      </c>
      <c r="E248" s="62" t="s">
        <v>231</v>
      </c>
      <c r="F248" s="62" t="s">
        <v>129</v>
      </c>
      <c r="G248" s="62"/>
      <c r="H248" s="67"/>
      <c r="I248" s="161">
        <v>7725</v>
      </c>
      <c r="J248" s="161">
        <f>SUM('BMW 330E RX67 WPN'!B3:B14)</f>
        <v>521.7</v>
      </c>
      <c r="K248" s="161">
        <f>Table12[[#This Row],[Price]]+Table12[[#This Row],[Reconditioning costs]]</f>
        <v>8246.7</v>
      </c>
      <c r="L248" s="241"/>
      <c r="M248" s="242"/>
      <c r="N248" s="62"/>
    </row>
    <row r="249" ht="26" customHeight="1" spans="2:14" x14ac:dyDescent="0.25">
      <c r="B249" s="199">
        <v>46082</v>
      </c>
      <c r="C249" s="159">
        <v>46100</v>
      </c>
      <c r="D249" s="62" t="s">
        <v>247</v>
      </c>
      <c r="E249" s="62" t="s">
        <v>248</v>
      </c>
      <c r="F249" s="44" t="s">
        <v>110</v>
      </c>
      <c r="G249" s="44"/>
      <c r="H249" s="50"/>
      <c r="I249" s="152">
        <v>8000</v>
      </c>
      <c r="J249" s="152">
        <f>SUM('CLA 200 WU66 MJX'!B3:B16)</f>
        <v>558.78</v>
      </c>
      <c r="K249" s="161">
        <f>Table12[[#This Row],[Price]]+Table12[[#This Row],[Reconditioning costs]]</f>
        <v>8558.78</v>
      </c>
      <c r="L249" s="241"/>
      <c r="M249" s="242"/>
      <c r="N249" s="62"/>
    </row>
    <row r="250" ht="26" customHeight="1" spans="2:14" x14ac:dyDescent="0.25">
      <c r="B250" s="199">
        <v>46082</v>
      </c>
      <c r="C250" s="159">
        <v>46101</v>
      </c>
      <c r="D250" s="243" t="s">
        <v>412</v>
      </c>
      <c r="E250" s="243" t="s">
        <v>413</v>
      </c>
      <c r="F250" s="44" t="s">
        <v>392</v>
      </c>
      <c r="G250" s="44"/>
      <c r="H250" s="50"/>
      <c r="I250" s="152">
        <v>5950</v>
      </c>
      <c r="J250" s="152">
        <f>SUM('Mazda CX3 AY17 YWX'!B3:B17)</f>
        <v>459.99</v>
      </c>
      <c r="K250" s="161">
        <f>Table12[[#This Row],[Price]]+Table12[[#This Row],[Reconditioning costs]]</f>
        <v>6409.99</v>
      </c>
      <c r="L250" s="145"/>
      <c r="M250" s="244"/>
      <c r="N250" s="240"/>
    </row>
    <row r="251" ht="26" customHeight="1" spans="2:14" x14ac:dyDescent="0.25">
      <c r="B251" s="199">
        <v>46082</v>
      </c>
      <c r="C251" s="159">
        <v>46105</v>
      </c>
      <c r="D251" s="62" t="s">
        <v>414</v>
      </c>
      <c r="E251" s="44" t="s">
        <v>415</v>
      </c>
      <c r="F251" s="44" t="s">
        <v>129</v>
      </c>
      <c r="G251" s="44"/>
      <c r="H251" s="44"/>
      <c r="I251" s="101">
        <v>7964</v>
      </c>
      <c r="J251" s="101">
        <f>SUM('Merc C220D SE66 OFZ'!B3:B26)</f>
        <v>1222.0299999999997</v>
      </c>
      <c r="K251" s="161">
        <f>Table12[[#This Row],[Price]]+Table12[[#This Row],[Reconditioning costs]]</f>
        <v>9186.029999999999</v>
      </c>
      <c r="L251" s="112"/>
      <c r="M251" s="62"/>
      <c r="N251" s="240"/>
    </row>
    <row r="252" ht="26" customHeight="1" spans="2:14" x14ac:dyDescent="0.25">
      <c r="B252" s="199">
        <v>46082</v>
      </c>
      <c r="C252" s="159">
        <v>46105</v>
      </c>
      <c r="D252" s="62"/>
      <c r="E252" s="44" t="s">
        <v>416</v>
      </c>
      <c r="F252" s="44" t="s">
        <v>129</v>
      </c>
      <c r="G252" s="44"/>
      <c r="H252" s="44"/>
      <c r="I252" s="101">
        <v>8231.69</v>
      </c>
      <c r="J252" s="101">
        <f>SUM('LY18 ZDV A200D'!B3:B27)</f>
        <v>100.62</v>
      </c>
      <c r="K252" s="161">
        <f>Table12[[#This Row],[Price]]+Table12[[#This Row],[Reconditioning costs]]</f>
        <v>8332.310000000001</v>
      </c>
      <c r="L252" s="112"/>
      <c r="M252" s="62"/>
      <c r="N252" s="240"/>
    </row>
    <row r="253" ht="26" customHeight="1" spans="2:14" x14ac:dyDescent="0.25">
      <c r="B253" s="199">
        <v>46082</v>
      </c>
      <c r="C253" s="159">
        <v>46106</v>
      </c>
      <c r="D253" s="119" t="s">
        <v>417</v>
      </c>
      <c r="E253" s="62" t="s">
        <v>418</v>
      </c>
      <c r="F253" s="62" t="s">
        <v>107</v>
      </c>
      <c r="G253" s="62"/>
      <c r="H253" s="62"/>
      <c r="I253" s="112">
        <v>5400</v>
      </c>
      <c r="J253" s="112">
        <f>SUM('Kuga EJ68 WVM'!B3:B32)</f>
        <v>1054.8</v>
      </c>
      <c r="K253" s="161">
        <f>Table12[[#This Row],[Price]]+Table12[[#This Row],[Reconditioning costs]]</f>
        <v>6454.8</v>
      </c>
      <c r="L253" s="112"/>
      <c r="M253" s="62"/>
      <c r="N253" s="240"/>
    </row>
    <row r="254" ht="26" customHeight="1" spans="2:14" x14ac:dyDescent="0.25">
      <c r="B254" s="199">
        <v>46082</v>
      </c>
      <c r="C254" s="159">
        <v>46106</v>
      </c>
      <c r="D254" s="62" t="s">
        <v>419</v>
      </c>
      <c r="E254" s="62" t="s">
        <v>420</v>
      </c>
      <c r="F254" s="62" t="s">
        <v>107</v>
      </c>
      <c r="G254" s="62"/>
      <c r="H254" s="62"/>
      <c r="I254" s="112">
        <v>5700</v>
      </c>
      <c r="J254" s="112">
        <f>SUM('Smart X65 YJL'!B3:B28)</f>
        <v>494.8</v>
      </c>
      <c r="K254" s="161">
        <f>Table12[[#This Row],[Price]]+Table12[[#This Row],[Reconditioning costs]]</f>
        <v>6194.8</v>
      </c>
      <c r="L254" s="112"/>
      <c r="M254" s="62"/>
      <c r="N254" s="245"/>
    </row>
    <row r="255" ht="29" customHeight="1" spans="2:14" x14ac:dyDescent="0.25">
      <c r="B255" s="210">
        <v>46082</v>
      </c>
      <c r="C255" s="246"/>
      <c r="D255" s="212"/>
      <c r="E255" s="216"/>
      <c r="F255" s="216"/>
      <c r="G255" s="216"/>
      <c r="H255" s="216"/>
      <c r="I255" s="215"/>
      <c r="J255" s="215"/>
      <c r="K255" s="215"/>
      <c r="L255" s="215"/>
      <c r="M255" s="216"/>
      <c r="N255" s="247"/>
    </row>
    <row r="256" ht="36" customHeight="1" spans="2:14" x14ac:dyDescent="0.25">
      <c r="B256" s="198">
        <v>46113</v>
      </c>
      <c r="C256" s="149">
        <v>45989</v>
      </c>
      <c r="D256" s="182" t="s">
        <v>238</v>
      </c>
      <c r="E256" s="182" t="s">
        <v>239</v>
      </c>
      <c r="F256" s="182" t="s">
        <v>107</v>
      </c>
      <c r="G256" s="150" t="s">
        <v>359</v>
      </c>
      <c r="H256" s="230"/>
      <c r="I256" s="230">
        <v>3200</v>
      </c>
      <c r="J256" s="230">
        <f>SUM('Polo MF14 TUH'!B3:B50)</f>
        <v>1701.89</v>
      </c>
      <c r="K256" s="230">
        <f t="shared" ref="K256:K290" si="11">SUM(I256:J256)</f>
        <v>4901.89</v>
      </c>
      <c r="L256" s="230">
        <v>5695</v>
      </c>
      <c r="M256" s="52">
        <f>L256-SUM(I256:J256)</f>
        <v>793.1099999999997</v>
      </c>
      <c r="N256" s="150" t="s">
        <v>29</v>
      </c>
    </row>
    <row r="257" ht="26" customHeight="1" spans="2:14" x14ac:dyDescent="0.25">
      <c r="B257" s="217">
        <v>46113</v>
      </c>
      <c r="C257" s="144">
        <v>46003</v>
      </c>
      <c r="D257" s="44" t="s">
        <v>384</v>
      </c>
      <c r="E257" s="44" t="s">
        <v>385</v>
      </c>
      <c r="F257" s="44" t="s">
        <v>125</v>
      </c>
      <c r="G257" s="44" t="s">
        <v>377</v>
      </c>
      <c r="H257" s="152"/>
      <c r="I257" s="152">
        <v>5000</v>
      </c>
      <c r="J257" s="152">
        <f>SUM('Audi A7 OV61 WKH'!B3:B50)</f>
        <v>2573.46</v>
      </c>
      <c r="K257" s="161">
        <f t="shared" si="11"/>
        <v>7573.46</v>
      </c>
      <c r="L257" s="161"/>
      <c r="M257" s="161"/>
      <c r="N257" s="62" t="s">
        <v>421</v>
      </c>
    </row>
    <row r="258" ht="26" customHeight="1" spans="2:14" x14ac:dyDescent="0.25">
      <c r="B258" s="217">
        <v>46113</v>
      </c>
      <c r="C258" s="190">
        <v>46032</v>
      </c>
      <c r="D258" s="115" t="s">
        <v>386</v>
      </c>
      <c r="E258" s="115" t="s">
        <v>387</v>
      </c>
      <c r="F258" s="115" t="s">
        <v>107</v>
      </c>
      <c r="G258" s="115" t="s">
        <v>359</v>
      </c>
      <c r="H258" s="231"/>
      <c r="I258" s="232">
        <v>4950</v>
      </c>
      <c r="J258" s="232">
        <f>SUM('Suzuki Swift YB68 XYT'!B3:B50)</f>
        <v>424.73</v>
      </c>
      <c r="K258" s="161">
        <f t="shared" si="11"/>
        <v>5374.73</v>
      </c>
      <c r="L258" s="161"/>
      <c r="M258" s="161"/>
      <c r="N258" s="62" t="s">
        <v>422</v>
      </c>
    </row>
    <row r="259" ht="26" customHeight="1" spans="2:14" x14ac:dyDescent="0.25">
      <c r="B259" s="217">
        <v>46113</v>
      </c>
      <c r="C259" s="206">
        <v>46033</v>
      </c>
      <c r="D259" s="115" t="s">
        <v>388</v>
      </c>
      <c r="E259" s="205" t="s">
        <v>389</v>
      </c>
      <c r="F259" s="205" t="s">
        <v>125</v>
      </c>
      <c r="G259" s="115" t="s">
        <v>377</v>
      </c>
      <c r="H259" s="233"/>
      <c r="I259" s="234">
        <v>5665.88</v>
      </c>
      <c r="J259" s="234">
        <f>SUM('BMW 120D PE65 LXZ'!B3:B50)</f>
        <v>862.8499999999999</v>
      </c>
      <c r="K259" s="161">
        <f t="shared" si="11"/>
        <v>6528.73</v>
      </c>
      <c r="L259" s="161"/>
      <c r="M259" s="161"/>
      <c r="N259" s="62"/>
    </row>
    <row r="260" ht="26" customHeight="1" spans="2:14" x14ac:dyDescent="0.25">
      <c r="B260" s="217">
        <v>46113</v>
      </c>
      <c r="C260" s="144">
        <v>46051</v>
      </c>
      <c r="D260" s="44" t="s">
        <v>390</v>
      </c>
      <c r="E260" s="44" t="s">
        <v>391</v>
      </c>
      <c r="F260" s="44" t="s">
        <v>107</v>
      </c>
      <c r="G260" s="115" t="s">
        <v>359</v>
      </c>
      <c r="H260" s="145"/>
      <c r="I260" s="152">
        <v>3850</v>
      </c>
      <c r="J260" s="152">
        <f>SUM('BMW 328i YB61'!B3:B50)</f>
        <v>2836.6800000000003</v>
      </c>
      <c r="K260" s="161">
        <f t="shared" si="11"/>
        <v>6686.68</v>
      </c>
      <c r="L260" s="161"/>
      <c r="M260" s="161"/>
      <c r="N260" s="62" t="s">
        <v>423</v>
      </c>
    </row>
    <row r="261" ht="26" customHeight="1" spans="2:14" x14ac:dyDescent="0.25">
      <c r="B261" s="198">
        <v>46113</v>
      </c>
      <c r="C261" s="149">
        <v>46054</v>
      </c>
      <c r="D261" s="235" t="s">
        <v>254</v>
      </c>
      <c r="E261" s="235" t="s">
        <v>255</v>
      </c>
      <c r="F261" s="235" t="s">
        <v>107</v>
      </c>
      <c r="G261" s="235" t="s">
        <v>393</v>
      </c>
      <c r="H261" s="230">
        <v>4000</v>
      </c>
      <c r="I261" s="248"/>
      <c r="J261" s="230">
        <f>SUM('Fabia GN66 YWZ PX'!B3:B50)</f>
        <v>122.46000000000001</v>
      </c>
      <c r="K261" s="230">
        <f t="shared" si="11"/>
        <v>122.46000000000001</v>
      </c>
      <c r="L261" s="230">
        <v>6495</v>
      </c>
      <c r="M261" s="52">
        <f>L261-SUM(I261:J261)</f>
        <v>6372.54</v>
      </c>
      <c r="N261" s="150" t="s">
        <v>29</v>
      </c>
    </row>
    <row r="262" ht="26" customHeight="1" spans="2:14" x14ac:dyDescent="0.25">
      <c r="B262" s="217">
        <v>46113</v>
      </c>
      <c r="C262" s="144">
        <v>46060</v>
      </c>
      <c r="D262" s="43" t="s">
        <v>394</v>
      </c>
      <c r="E262" s="43" t="s">
        <v>395</v>
      </c>
      <c r="F262" s="43" t="s">
        <v>113</v>
      </c>
      <c r="G262" s="43"/>
      <c r="H262" s="236"/>
      <c r="I262" s="152">
        <v>5700</v>
      </c>
      <c r="J262" s="152">
        <f>SUM('BMW 318D S88 RDF'!B3:B50)</f>
        <v>1043.575</v>
      </c>
      <c r="K262" s="161">
        <f t="shared" si="11"/>
        <v>6743.575</v>
      </c>
      <c r="L262" s="161"/>
      <c r="M262" s="161"/>
      <c r="N262" s="62" t="s">
        <v>424</v>
      </c>
    </row>
    <row r="263" ht="26" customHeight="1" spans="2:14" x14ac:dyDescent="0.25">
      <c r="B263" s="217">
        <v>46113</v>
      </c>
      <c r="C263" s="144">
        <v>46060</v>
      </c>
      <c r="D263" s="43" t="s">
        <v>396</v>
      </c>
      <c r="E263" s="43" t="s">
        <v>180</v>
      </c>
      <c r="F263" s="43" t="s">
        <v>113</v>
      </c>
      <c r="G263" s="43"/>
      <c r="H263" s="236"/>
      <c r="I263" s="152">
        <v>5500</v>
      </c>
      <c r="J263" s="152">
        <f>SUM('P2008 LS66 SVA'!B3:B50)</f>
        <v>592.52</v>
      </c>
      <c r="K263" s="161">
        <f t="shared" si="11"/>
        <v>6092.52</v>
      </c>
      <c r="L263" s="161"/>
      <c r="M263" s="161"/>
      <c r="N263" s="62" t="s">
        <v>425</v>
      </c>
    </row>
    <row r="264" ht="26" customHeight="1" spans="2:14" x14ac:dyDescent="0.25">
      <c r="B264" s="198">
        <v>46113</v>
      </c>
      <c r="C264" s="149">
        <v>46067</v>
      </c>
      <c r="D264" s="150" t="s">
        <v>249</v>
      </c>
      <c r="E264" s="150" t="s">
        <v>70</v>
      </c>
      <c r="F264" s="150" t="s">
        <v>107</v>
      </c>
      <c r="G264" s="150" t="s">
        <v>393</v>
      </c>
      <c r="H264" s="230">
        <v>2800</v>
      </c>
      <c r="I264" s="230"/>
      <c r="J264" s="230">
        <f>SUM('Fiesta FN62HKO'!B3:B50)</f>
        <v>240.07999999999998</v>
      </c>
      <c r="K264" s="230">
        <f t="shared" si="11"/>
        <v>240.07999999999998</v>
      </c>
      <c r="L264" s="230">
        <v>5295</v>
      </c>
      <c r="M264" s="52">
        <f>L264-SUM(I264:J264)</f>
        <v>5054.92</v>
      </c>
      <c r="N264" s="150" t="s">
        <v>29</v>
      </c>
    </row>
    <row r="265" ht="26" customHeight="1" spans="2:14" x14ac:dyDescent="0.25">
      <c r="B265" s="198">
        <v>46113</v>
      </c>
      <c r="C265" s="149">
        <v>46071</v>
      </c>
      <c r="D265" s="150" t="s">
        <v>244</v>
      </c>
      <c r="E265" s="150" t="s">
        <v>245</v>
      </c>
      <c r="F265" s="150" t="s">
        <v>107</v>
      </c>
      <c r="G265" s="150"/>
      <c r="H265" s="230"/>
      <c r="I265" s="230">
        <v>6400</v>
      </c>
      <c r="J265" s="230">
        <f>SUM('GOLF RJ14 YZN'!B3:B50)</f>
        <v>593.2199999999999</v>
      </c>
      <c r="K265" s="230">
        <f t="shared" si="11"/>
        <v>6993.22</v>
      </c>
      <c r="L265" s="230">
        <v>8400</v>
      </c>
      <c r="M265" s="52">
        <f>L265-SUM(I265:J265)</f>
        <v>1406.7799999999997</v>
      </c>
      <c r="N265" s="150" t="s">
        <v>29</v>
      </c>
    </row>
    <row r="266" ht="26" customHeight="1" spans="2:14" x14ac:dyDescent="0.25">
      <c r="B266" s="217">
        <v>46113</v>
      </c>
      <c r="C266" s="144">
        <v>46071</v>
      </c>
      <c r="D266" s="115" t="s">
        <v>397</v>
      </c>
      <c r="E266" s="115" t="s">
        <v>229</v>
      </c>
      <c r="F266" s="115" t="s">
        <v>107</v>
      </c>
      <c r="G266" s="115"/>
      <c r="H266" s="232"/>
      <c r="I266" s="232">
        <v>4150</v>
      </c>
      <c r="J266" s="152">
        <f>SUM('POLO GTI BK61 SWZ'!B3:B50)</f>
        <v>629.49</v>
      </c>
      <c r="K266" s="161">
        <f t="shared" si="11"/>
        <v>4779.49</v>
      </c>
      <c r="L266" s="161"/>
      <c r="M266" s="161"/>
      <c r="N266" s="62" t="s">
        <v>425</v>
      </c>
    </row>
    <row r="267" ht="26" customHeight="1" spans="2:14" x14ac:dyDescent="0.25">
      <c r="B267" s="217">
        <v>46113</v>
      </c>
      <c r="C267" s="144">
        <v>46071</v>
      </c>
      <c r="D267" s="44" t="s">
        <v>398</v>
      </c>
      <c r="E267" s="44" t="s">
        <v>146</v>
      </c>
      <c r="F267" s="44" t="s">
        <v>106</v>
      </c>
      <c r="G267" s="44"/>
      <c r="H267" s="152"/>
      <c r="I267" s="152">
        <v>4400</v>
      </c>
      <c r="J267" s="152">
        <f>SUM('Mazda 6 WA13XCV'!B3:B50)</f>
        <v>1158.93</v>
      </c>
      <c r="K267" s="161">
        <f t="shared" si="11"/>
        <v>5558.93</v>
      </c>
      <c r="L267" s="161"/>
      <c r="M267" s="161"/>
      <c r="N267" s="62" t="s">
        <v>425</v>
      </c>
    </row>
    <row r="268" ht="26" customHeight="1" spans="2:14" x14ac:dyDescent="0.25">
      <c r="B268" s="217">
        <v>46113</v>
      </c>
      <c r="C268" s="144">
        <v>46073</v>
      </c>
      <c r="D268" s="86" t="s">
        <v>399</v>
      </c>
      <c r="E268" s="86" t="s">
        <v>400</v>
      </c>
      <c r="F268" s="86" t="s">
        <v>129</v>
      </c>
      <c r="G268" s="101" t="s">
        <v>351</v>
      </c>
      <c r="H268" s="152"/>
      <c r="I268" s="152">
        <v>7900</v>
      </c>
      <c r="J268" s="152">
        <f>SUM('Passat PL18 KLM'!B3:B50)</f>
        <v>616.69</v>
      </c>
      <c r="K268" s="161">
        <f t="shared" si="11"/>
        <v>8516.69</v>
      </c>
      <c r="L268" s="161"/>
      <c r="M268" s="161"/>
      <c r="N268" s="62" t="s">
        <v>426</v>
      </c>
    </row>
    <row r="269" ht="26" customHeight="1" spans="2:14" x14ac:dyDescent="0.25">
      <c r="B269" s="198">
        <v>46113</v>
      </c>
      <c r="C269" s="149">
        <v>46077</v>
      </c>
      <c r="D269" s="150" t="s">
        <v>241</v>
      </c>
      <c r="E269" s="150" t="s">
        <v>242</v>
      </c>
      <c r="F269" s="150" t="s">
        <v>110</v>
      </c>
      <c r="G269" s="150"/>
      <c r="H269" s="237"/>
      <c r="I269" s="230">
        <v>7000</v>
      </c>
      <c r="J269" s="230">
        <f>SUM('Golf R VX16 XJU'!B3:B50)</f>
        <v>491.5</v>
      </c>
      <c r="K269" s="230">
        <f t="shared" si="11"/>
        <v>7491.5</v>
      </c>
      <c r="L269" s="230">
        <v>9971</v>
      </c>
      <c r="M269" s="52">
        <f>L269-SUM(I269:J269)</f>
        <v>2479.5</v>
      </c>
      <c r="N269" s="150" t="s">
        <v>29</v>
      </c>
    </row>
    <row r="270" ht="26" customHeight="1" spans="2:14" x14ac:dyDescent="0.25">
      <c r="B270" s="217">
        <v>46113</v>
      </c>
      <c r="C270" s="159">
        <v>46080</v>
      </c>
      <c r="D270" s="62" t="s">
        <v>403</v>
      </c>
      <c r="E270" s="62" t="s">
        <v>404</v>
      </c>
      <c r="F270" s="62" t="s">
        <v>113</v>
      </c>
      <c r="G270" s="62"/>
      <c r="H270" s="67"/>
      <c r="I270" s="161">
        <v>6425</v>
      </c>
      <c r="J270" s="161">
        <f>SUM('Merc C200 HF64 PLZ'!B3:B50)</f>
        <v>664.8</v>
      </c>
      <c r="K270" s="161">
        <f t="shared" si="11"/>
        <v>7089.8</v>
      </c>
      <c r="L270" s="161"/>
      <c r="M270" s="161"/>
      <c r="N270" s="62" t="s">
        <v>425</v>
      </c>
    </row>
    <row r="271" ht="26" customHeight="1" spans="2:14" x14ac:dyDescent="0.25">
      <c r="B271" s="217">
        <v>46113</v>
      </c>
      <c r="C271" s="159">
        <v>46080</v>
      </c>
      <c r="D271" s="62" t="s">
        <v>405</v>
      </c>
      <c r="E271" s="62" t="s">
        <v>406</v>
      </c>
      <c r="F271" s="62" t="s">
        <v>113</v>
      </c>
      <c r="G271" s="62"/>
      <c r="H271" s="67"/>
      <c r="I271" s="161">
        <v>6000</v>
      </c>
      <c r="J271" s="161">
        <f>SUM('Q5 KM62 XFN'!B3:B50)</f>
        <v>605.9</v>
      </c>
      <c r="K271" s="161">
        <f t="shared" si="11"/>
        <v>6605.9</v>
      </c>
      <c r="L271" s="161"/>
      <c r="M271" s="161"/>
      <c r="N271" s="62" t="s">
        <v>425</v>
      </c>
    </row>
    <row r="272" ht="26" customHeight="1" spans="2:14" x14ac:dyDescent="0.25">
      <c r="B272" s="217">
        <v>46113</v>
      </c>
      <c r="C272" s="159">
        <v>46090</v>
      </c>
      <c r="D272" s="62" t="s">
        <v>407</v>
      </c>
      <c r="E272" s="62" t="s">
        <v>233</v>
      </c>
      <c r="F272" s="62" t="s">
        <v>107</v>
      </c>
      <c r="G272" s="62"/>
      <c r="H272" s="161"/>
      <c r="I272" s="161">
        <v>7100</v>
      </c>
      <c r="J272" s="161">
        <f>SUM('520D YK66 DWU'!B3:B50)</f>
        <v>852.26</v>
      </c>
      <c r="K272" s="161">
        <f t="shared" si="11"/>
        <v>7952.26</v>
      </c>
      <c r="L272" s="161"/>
      <c r="M272" s="161"/>
      <c r="N272" s="62" t="s">
        <v>425</v>
      </c>
    </row>
    <row r="273" ht="26" customHeight="1" spans="2:14" x14ac:dyDescent="0.25">
      <c r="B273" s="217">
        <v>46113</v>
      </c>
      <c r="C273" s="159">
        <v>46093</v>
      </c>
      <c r="D273" s="62" t="s">
        <v>408</v>
      </c>
      <c r="E273" s="62" t="s">
        <v>233</v>
      </c>
      <c r="F273" s="62" t="s">
        <v>392</v>
      </c>
      <c r="G273" s="62"/>
      <c r="H273" s="161"/>
      <c r="I273" s="161">
        <v>5300</v>
      </c>
      <c r="J273" s="161">
        <f>SUM('520D CF15 OWA'!B3:B50)</f>
        <v>702.8</v>
      </c>
      <c r="K273" s="161">
        <f t="shared" si="11"/>
        <v>6002.8</v>
      </c>
      <c r="L273" s="161"/>
      <c r="M273" s="161"/>
      <c r="N273" s="62" t="s">
        <v>427</v>
      </c>
    </row>
    <row r="274" ht="26" customHeight="1" spans="2:14" x14ac:dyDescent="0.25">
      <c r="B274" s="217">
        <v>46113</v>
      </c>
      <c r="C274" s="159">
        <v>46096</v>
      </c>
      <c r="D274" s="62" t="s">
        <v>409</v>
      </c>
      <c r="E274" s="62" t="s">
        <v>134</v>
      </c>
      <c r="F274" s="62" t="s">
        <v>402</v>
      </c>
      <c r="G274" s="62" t="s">
        <v>365</v>
      </c>
      <c r="H274" s="161"/>
      <c r="I274" s="161">
        <v>4800</v>
      </c>
      <c r="J274" s="161">
        <f>SUM('Audi A4 BG63 VYM'!B3:B50)</f>
        <v>295.15999999999997</v>
      </c>
      <c r="K274" s="161">
        <f t="shared" si="11"/>
        <v>5095.16</v>
      </c>
      <c r="L274" s="161"/>
      <c r="M274" s="161"/>
      <c r="N274" s="62" t="s">
        <v>428</v>
      </c>
    </row>
    <row r="275" ht="26" customHeight="1" spans="2:14" x14ac:dyDescent="0.25">
      <c r="B275" s="198">
        <v>46113</v>
      </c>
      <c r="C275" s="149">
        <v>46099</v>
      </c>
      <c r="D275" s="150" t="s">
        <v>251</v>
      </c>
      <c r="E275" s="150" t="s">
        <v>252</v>
      </c>
      <c r="F275" s="150" t="s">
        <v>113</v>
      </c>
      <c r="G275" s="150" t="s">
        <v>377</v>
      </c>
      <c r="H275" s="230"/>
      <c r="I275" s="230">
        <v>7300</v>
      </c>
      <c r="J275" s="230">
        <f>SUM('CLA 220 KU67 PWY'!B3:B50)</f>
        <v>644.275</v>
      </c>
      <c r="K275" s="230">
        <f t="shared" si="11"/>
        <v>7944.275</v>
      </c>
      <c r="L275" s="230">
        <v>10250</v>
      </c>
      <c r="M275" s="52">
        <f>L275-SUM(I275:J275)</f>
        <v>2305.7250000000004</v>
      </c>
      <c r="N275" s="150" t="s">
        <v>29</v>
      </c>
    </row>
    <row r="276" ht="26" customHeight="1" spans="2:14" x14ac:dyDescent="0.25">
      <c r="B276" s="217">
        <v>46113</v>
      </c>
      <c r="C276" s="159">
        <v>46099</v>
      </c>
      <c r="D276" s="119" t="s">
        <v>410</v>
      </c>
      <c r="E276" s="119" t="s">
        <v>411</v>
      </c>
      <c r="F276" s="119" t="s">
        <v>110</v>
      </c>
      <c r="G276" s="119"/>
      <c r="H276" s="238"/>
      <c r="I276" s="239">
        <v>5850</v>
      </c>
      <c r="J276" s="239">
        <f>SUM('Mazda 3 FY67 WDE'!B3:B50)</f>
        <v>851.75</v>
      </c>
      <c r="K276" s="161">
        <f t="shared" si="11"/>
        <v>6701.75</v>
      </c>
      <c r="L276" s="239"/>
      <c r="M276" s="238"/>
      <c r="N276" s="119" t="s">
        <v>425</v>
      </c>
    </row>
    <row r="277" ht="26" customHeight="1" spans="2:14" x14ac:dyDescent="0.25">
      <c r="B277" s="198">
        <v>46113</v>
      </c>
      <c r="C277" s="149">
        <v>46100</v>
      </c>
      <c r="D277" s="150" t="s">
        <v>247</v>
      </c>
      <c r="E277" s="150" t="s">
        <v>248</v>
      </c>
      <c r="F277" s="150" t="s">
        <v>110</v>
      </c>
      <c r="G277" s="150"/>
      <c r="H277" s="237"/>
      <c r="I277" s="230">
        <v>8000</v>
      </c>
      <c r="J277" s="230">
        <f>SUM('CLA 200 WU66 MJX'!B3:B50)</f>
        <v>558.78</v>
      </c>
      <c r="K277" s="230">
        <f t="shared" si="11"/>
        <v>8558.78</v>
      </c>
      <c r="L277" s="230">
        <v>12050</v>
      </c>
      <c r="M277" s="52">
        <f>L277-SUM(I277:J277)</f>
        <v>3491.2199999999993</v>
      </c>
      <c r="N277" s="150" t="s">
        <v>29</v>
      </c>
    </row>
    <row r="278" ht="26" customHeight="1" spans="2:14" x14ac:dyDescent="0.25">
      <c r="B278" s="217">
        <v>46113</v>
      </c>
      <c r="C278" s="159">
        <v>46101</v>
      </c>
      <c r="D278" s="249" t="s">
        <v>412</v>
      </c>
      <c r="E278" s="243" t="s">
        <v>413</v>
      </c>
      <c r="F278" s="44" t="s">
        <v>392</v>
      </c>
      <c r="G278" s="44"/>
      <c r="H278" s="50"/>
      <c r="I278" s="152">
        <v>5950</v>
      </c>
      <c r="J278" s="152">
        <f>SUM('Mazda CX3 AY17 YWX'!B3:B50)</f>
        <v>459.99</v>
      </c>
      <c r="K278" s="161">
        <f t="shared" si="11"/>
        <v>6409.99</v>
      </c>
      <c r="L278" s="145"/>
      <c r="M278" s="244"/>
      <c r="N278" s="119" t="s">
        <v>429</v>
      </c>
    </row>
    <row r="279" ht="26" customHeight="1" spans="2:14" x14ac:dyDescent="0.25">
      <c r="B279" s="217">
        <v>46113</v>
      </c>
      <c r="C279" s="159">
        <v>46105</v>
      </c>
      <c r="D279" s="62" t="s">
        <v>414</v>
      </c>
      <c r="E279" s="44" t="s">
        <v>415</v>
      </c>
      <c r="F279" s="44" t="s">
        <v>129</v>
      </c>
      <c r="G279" s="44"/>
      <c r="H279" s="44"/>
      <c r="I279" s="101">
        <v>7964</v>
      </c>
      <c r="J279" s="101">
        <f>SUM('Merc C220D SE66 OFZ'!B3:B50)</f>
        <v>1222.0299999999997</v>
      </c>
      <c r="K279" s="161">
        <f t="shared" si="11"/>
        <v>9186.029999999999</v>
      </c>
      <c r="L279" s="112"/>
      <c r="M279" s="62"/>
      <c r="N279" s="119" t="s">
        <v>430</v>
      </c>
    </row>
    <row r="280" ht="26" customHeight="1" spans="2:14" x14ac:dyDescent="0.25">
      <c r="B280" s="217">
        <v>46113</v>
      </c>
      <c r="C280" s="159">
        <v>46105</v>
      </c>
      <c r="D280" s="62" t="s">
        <v>431</v>
      </c>
      <c r="E280" s="44" t="s">
        <v>432</v>
      </c>
      <c r="F280" s="44" t="s">
        <v>107</v>
      </c>
      <c r="G280" s="44"/>
      <c r="H280" s="44"/>
      <c r="I280" s="101">
        <v>8231.69</v>
      </c>
      <c r="J280" s="101">
        <f>SUM('LY18 ZDV A200D'!B3:B50)</f>
        <v>100.62</v>
      </c>
      <c r="K280" s="161">
        <f t="shared" si="11"/>
        <v>8332.310000000001</v>
      </c>
      <c r="L280" s="112"/>
      <c r="M280" s="62"/>
      <c r="N280" s="62" t="s">
        <v>433</v>
      </c>
    </row>
    <row r="281" ht="26" customHeight="1" spans="2:14" x14ac:dyDescent="0.25">
      <c r="B281" s="217">
        <v>46113</v>
      </c>
      <c r="C281" s="159">
        <v>46106</v>
      </c>
      <c r="D281" s="119" t="s">
        <v>417</v>
      </c>
      <c r="E281" s="62" t="s">
        <v>418</v>
      </c>
      <c r="F281" s="62" t="s">
        <v>107</v>
      </c>
      <c r="G281" s="62"/>
      <c r="H281" s="62"/>
      <c r="I281" s="112">
        <v>5400</v>
      </c>
      <c r="J281" s="112">
        <f>SUM('Kuga EJ68 WVM'!B3:B50)</f>
        <v>1054.8</v>
      </c>
      <c r="K281" s="161">
        <f t="shared" si="11"/>
        <v>6454.8</v>
      </c>
      <c r="L281" s="112"/>
      <c r="M281" s="62"/>
      <c r="N281" s="62" t="s">
        <v>434</v>
      </c>
    </row>
    <row r="282" ht="26" customHeight="1" spans="2:14" x14ac:dyDescent="0.25">
      <c r="B282" s="217">
        <v>46113</v>
      </c>
      <c r="C282" s="159">
        <v>46106</v>
      </c>
      <c r="D282" s="62" t="s">
        <v>419</v>
      </c>
      <c r="E282" s="62" t="s">
        <v>420</v>
      </c>
      <c r="F282" s="62" t="s">
        <v>107</v>
      </c>
      <c r="G282" s="62"/>
      <c r="H282" s="62"/>
      <c r="I282" s="112">
        <v>5700</v>
      </c>
      <c r="J282" s="112">
        <f>SUM('Smart X65 YJL'!B3:B50)</f>
        <v>494.8</v>
      </c>
      <c r="K282" s="161">
        <f t="shared" si="11"/>
        <v>6194.8</v>
      </c>
      <c r="L282" s="112"/>
      <c r="M282" s="62"/>
      <c r="N282" s="62" t="s">
        <v>425</v>
      </c>
    </row>
    <row r="283" ht="26" customHeight="1" spans="2:14" x14ac:dyDescent="0.25">
      <c r="B283" s="217">
        <v>46113</v>
      </c>
      <c r="C283" s="159">
        <v>46112</v>
      </c>
      <c r="D283" s="62" t="s">
        <v>435</v>
      </c>
      <c r="E283" s="62" t="s">
        <v>436</v>
      </c>
      <c r="F283" s="62" t="s">
        <v>107</v>
      </c>
      <c r="G283" s="62"/>
      <c r="H283" s="62"/>
      <c r="I283" s="112">
        <v>6500</v>
      </c>
      <c r="J283" s="112">
        <f>SUM('CLA Estate YR16 XCB'!B3:B50)</f>
        <v>981.425</v>
      </c>
      <c r="K283" s="161">
        <f t="shared" si="11"/>
        <v>7481.425</v>
      </c>
      <c r="L283" s="62"/>
      <c r="M283" s="62"/>
      <c r="N283" s="62" t="s">
        <v>437</v>
      </c>
    </row>
    <row r="284" ht="26" customHeight="1" spans="2:14" x14ac:dyDescent="0.25">
      <c r="B284" s="217">
        <v>46113</v>
      </c>
      <c r="C284" s="159">
        <v>46112</v>
      </c>
      <c r="D284" s="62" t="s">
        <v>438</v>
      </c>
      <c r="E284" s="62" t="s">
        <v>439</v>
      </c>
      <c r="F284" s="62" t="s">
        <v>107</v>
      </c>
      <c r="G284" s="62"/>
      <c r="H284" s="62"/>
      <c r="I284" s="112">
        <v>5950</v>
      </c>
      <c r="J284" s="112">
        <f>SUM('Audi A6 VE16 TNO'!B3:B50)</f>
        <v>770.0949999999999</v>
      </c>
      <c r="K284" s="161">
        <f t="shared" si="11"/>
        <v>6720.095</v>
      </c>
      <c r="L284" s="62"/>
      <c r="M284" s="62"/>
      <c r="N284" s="62" t="s">
        <v>440</v>
      </c>
    </row>
    <row r="285" ht="26" customHeight="1" spans="2:14" x14ac:dyDescent="0.25">
      <c r="B285" s="217">
        <v>46113</v>
      </c>
      <c r="C285" s="144">
        <v>46116</v>
      </c>
      <c r="D285" s="44" t="s">
        <v>441</v>
      </c>
      <c r="E285" s="77" t="s">
        <v>442</v>
      </c>
      <c r="F285" s="77" t="s">
        <v>402</v>
      </c>
      <c r="G285" s="77"/>
      <c r="H285" s="77"/>
      <c r="I285" s="95">
        <v>7000</v>
      </c>
      <c r="J285" s="95">
        <f>SUM('A6 Allroad DL15 WDA '!B3:B39)</f>
        <v>632.6</v>
      </c>
      <c r="K285" s="161">
        <f t="shared" si="11"/>
        <v>7632.6</v>
      </c>
      <c r="L285" s="95"/>
      <c r="M285" s="77"/>
      <c r="N285" s="174" t="s">
        <v>443</v>
      </c>
    </row>
    <row r="286" ht="26" customHeight="1" spans="2:14" x14ac:dyDescent="0.25">
      <c r="B286" s="217">
        <v>46113</v>
      </c>
      <c r="C286" s="144">
        <v>46116</v>
      </c>
      <c r="D286" s="44" t="s">
        <v>444</v>
      </c>
      <c r="E286" s="77" t="s">
        <v>445</v>
      </c>
      <c r="F286" s="77" t="s">
        <v>113</v>
      </c>
      <c r="G286" s="77"/>
      <c r="H286" s="77"/>
      <c r="I286" s="95">
        <v>6000</v>
      </c>
      <c r="J286" s="95">
        <f>SUM('A3 E-Tron KM64 XCX'!B3:B19)</f>
        <v>861.48</v>
      </c>
      <c r="K286" s="161">
        <f t="shared" si="11"/>
        <v>6861.48</v>
      </c>
      <c r="L286" s="95"/>
      <c r="M286" s="77"/>
      <c r="N286" s="174" t="s">
        <v>446</v>
      </c>
    </row>
    <row r="287" ht="26" customHeight="1" spans="2:14" x14ac:dyDescent="0.25">
      <c r="B287" s="217">
        <v>46113</v>
      </c>
      <c r="C287" s="144">
        <v>46117</v>
      </c>
      <c r="D287" s="62" t="s">
        <v>447</v>
      </c>
      <c r="E287" s="62" t="s">
        <v>448</v>
      </c>
      <c r="F287" s="62" t="s">
        <v>107</v>
      </c>
      <c r="G287" s="77"/>
      <c r="H287" s="77"/>
      <c r="I287" s="95">
        <v>4900</v>
      </c>
      <c r="J287" s="95">
        <f>SUM('A6 YY62 XJW'!B3:B21)</f>
        <v>432.8</v>
      </c>
      <c r="K287" s="161">
        <f t="shared" si="11"/>
        <v>5332.8</v>
      </c>
      <c r="L287" s="95"/>
      <c r="M287" s="77"/>
      <c r="N287" s="84"/>
    </row>
    <row r="288" ht="26" customHeight="1" spans="2:14" x14ac:dyDescent="0.25">
      <c r="B288" s="217">
        <v>46113</v>
      </c>
      <c r="C288" s="144">
        <v>46119</v>
      </c>
      <c r="D288" s="44" t="s">
        <v>335</v>
      </c>
      <c r="E288" s="77" t="s">
        <v>336</v>
      </c>
      <c r="F288" s="77" t="s">
        <v>129</v>
      </c>
      <c r="G288" s="77"/>
      <c r="H288" s="77"/>
      <c r="I288" s="95">
        <v>6900</v>
      </c>
      <c r="J288" s="95">
        <f>SUM('520D Lux NG64 EOH'!B3:B20)</f>
        <v>748.77</v>
      </c>
      <c r="K288" s="161">
        <f t="shared" si="11"/>
        <v>7648.77</v>
      </c>
      <c r="L288" s="95"/>
      <c r="M288" s="77"/>
      <c r="N288" s="84"/>
    </row>
    <row r="289" ht="26" customHeight="1" spans="2:14" x14ac:dyDescent="0.25">
      <c r="B289" s="217">
        <v>46113</v>
      </c>
      <c r="C289" s="144">
        <v>46120</v>
      </c>
      <c r="D289" s="44" t="s">
        <v>449</v>
      </c>
      <c r="E289" s="77" t="s">
        <v>450</v>
      </c>
      <c r="F289" s="77" t="s">
        <v>129</v>
      </c>
      <c r="G289" s="77"/>
      <c r="H289" s="77"/>
      <c r="I289" s="95">
        <v>7000</v>
      </c>
      <c r="J289" s="95">
        <f>SUM('520D M Sport RJ65 VVN'!B3:B24)</f>
        <v>406.8</v>
      </c>
      <c r="K289" s="161">
        <f t="shared" si="11"/>
        <v>7406.8</v>
      </c>
      <c r="L289" s="95"/>
      <c r="M289" s="77"/>
      <c r="N289" s="84"/>
    </row>
    <row r="290" ht="25" customHeight="1" spans="2:14" x14ac:dyDescent="0.25">
      <c r="B290" s="217">
        <v>46113</v>
      </c>
      <c r="C290" s="144">
        <v>46121</v>
      </c>
      <c r="D290" s="44" t="s">
        <v>310</v>
      </c>
      <c r="E290" s="77" t="s">
        <v>311</v>
      </c>
      <c r="F290" s="77" t="s">
        <v>107</v>
      </c>
      <c r="G290" s="77"/>
      <c r="H290" s="77"/>
      <c r="I290" s="95">
        <v>6100</v>
      </c>
      <c r="J290" s="95">
        <f>SUM('Kia Sportage ML20 YZW'!B3:B17)</f>
        <v>430.8</v>
      </c>
      <c r="K290" s="161">
        <f t="shared" si="11"/>
        <v>6530.8</v>
      </c>
      <c r="L290" s="95"/>
      <c r="M290" s="77"/>
      <c r="N290" s="84"/>
    </row>
    <row r="291" ht="26" customHeight="1" spans="2:14" x14ac:dyDescent="0.25">
      <c r="B291" s="217">
        <v>46113</v>
      </c>
      <c r="C291" s="144"/>
      <c r="D291" s="44"/>
      <c r="E291" s="77"/>
      <c r="F291" s="77"/>
      <c r="G291" s="77"/>
      <c r="H291" s="77"/>
      <c r="I291" s="95"/>
      <c r="J291" s="95"/>
      <c r="K291" s="161"/>
      <c r="L291" s="95"/>
      <c r="M291" s="77"/>
      <c r="N291" s="84"/>
    </row>
    <row r="292" ht="26" customHeight="1" hidden="1" spans="2:14" x14ac:dyDescent="0.25">
      <c r="B292" s="199"/>
      <c r="C292" s="250"/>
      <c r="D292" s="251"/>
      <c r="E292" s="78"/>
      <c r="F292" s="78"/>
      <c r="G292" s="78"/>
      <c r="H292" s="78"/>
      <c r="I292" s="109"/>
      <c r="J292" s="109"/>
      <c r="K292" s="109"/>
      <c r="L292" s="109"/>
      <c r="M292" s="78"/>
      <c r="N292" s="84"/>
    </row>
    <row r="293" ht="26" customHeight="1" hidden="1" spans="2:14" x14ac:dyDescent="0.25">
      <c r="B293" s="199"/>
      <c r="C293" s="250"/>
      <c r="D293" s="251"/>
      <c r="E293" s="78"/>
      <c r="F293" s="78"/>
      <c r="G293" s="78"/>
      <c r="H293" s="78"/>
      <c r="I293" s="109"/>
      <c r="J293" s="109"/>
      <c r="K293" s="109"/>
      <c r="L293" s="109"/>
      <c r="M293" s="78"/>
      <c r="N293" s="84"/>
    </row>
    <row r="294" ht="26" customHeight="1" hidden="1" spans="2:14" x14ac:dyDescent="0.25">
      <c r="B294" s="199"/>
      <c r="C294" s="250"/>
      <c r="D294" s="251"/>
      <c r="E294" s="78"/>
      <c r="F294" s="78"/>
      <c r="G294" s="78"/>
      <c r="H294" s="78"/>
      <c r="I294" s="109"/>
      <c r="J294" s="109"/>
      <c r="K294" s="109"/>
      <c r="L294" s="109"/>
      <c r="M294" s="78"/>
      <c r="N294" s="84"/>
    </row>
    <row r="295" ht="26" customHeight="1" hidden="1" spans="2:14" x14ac:dyDescent="0.25">
      <c r="B295" s="199"/>
      <c r="C295" s="250"/>
      <c r="D295" s="251"/>
      <c r="E295" s="78"/>
      <c r="F295" s="78"/>
      <c r="G295" s="78"/>
      <c r="H295" s="78"/>
      <c r="I295" s="109"/>
      <c r="J295" s="109"/>
      <c r="K295" s="109"/>
      <c r="L295" s="109"/>
      <c r="M295" s="78"/>
      <c r="N295" s="84"/>
    </row>
    <row r="296" ht="26" customHeight="1" spans="2:14" x14ac:dyDescent="0.25">
      <c r="B296" s="62"/>
      <c r="C296" s="159"/>
      <c r="D296" s="62"/>
      <c r="E296" s="62"/>
      <c r="F296" s="62"/>
      <c r="G296" s="62"/>
      <c r="H296" s="62"/>
      <c r="I296" s="112"/>
      <c r="J296" s="62"/>
      <c r="K296" s="62"/>
      <c r="L296" s="62"/>
      <c r="M296" s="62"/>
      <c r="N296" s="62"/>
    </row>
    <row r="297" ht="26" customHeight="1" spans="2:14" x14ac:dyDescent="0.25">
      <c r="B297" s="62"/>
      <c r="C297" s="159"/>
      <c r="D297" s="62"/>
      <c r="E297" s="62"/>
      <c r="F297" s="62"/>
      <c r="G297" s="62"/>
      <c r="H297" s="62"/>
      <c r="I297" s="112"/>
      <c r="J297" s="62"/>
      <c r="K297" s="62"/>
      <c r="L297" s="62"/>
      <c r="M297" s="62"/>
      <c r="N297" s="62"/>
    </row>
    <row r="298" ht="26" customHeight="1" spans="2:14" x14ac:dyDescent="0.25">
      <c r="B298" s="62"/>
      <c r="C298" s="159"/>
      <c r="D298" s="62"/>
      <c r="E298" s="62"/>
      <c r="F298" s="62"/>
      <c r="G298" s="62"/>
      <c r="H298" s="62"/>
      <c r="I298" s="112"/>
      <c r="J298" s="62"/>
      <c r="K298" s="62"/>
      <c r="L298" s="62"/>
      <c r="M298" s="62"/>
      <c r="N298" s="62"/>
    </row>
    <row r="299" ht="26" customHeight="1" spans="2:14" x14ac:dyDescent="0.25">
      <c r="B299" s="62"/>
      <c r="C299" s="159"/>
      <c r="D299" s="62"/>
      <c r="E299" s="62"/>
      <c r="F299" s="62"/>
      <c r="G299" s="62"/>
      <c r="H299" s="62"/>
      <c r="I299" s="112"/>
      <c r="J299" s="62"/>
      <c r="K299" s="62"/>
      <c r="L299" s="62"/>
      <c r="M299" s="62"/>
      <c r="N299" s="62"/>
    </row>
    <row r="300" ht="26" customHeight="1" spans="2:14" x14ac:dyDescent="0.25">
      <c r="B300" s="62"/>
      <c r="C300" s="159"/>
      <c r="D300" s="62"/>
      <c r="E300" s="62"/>
      <c r="F300" s="62"/>
      <c r="G300" s="62"/>
      <c r="H300" s="62"/>
      <c r="I300" s="112"/>
      <c r="J300" s="62"/>
      <c r="K300" s="62"/>
      <c r="L300" s="62"/>
      <c r="M300" s="62"/>
      <c r="N300" s="62"/>
    </row>
    <row r="301" ht="26" customHeight="1" spans="2:14" x14ac:dyDescent="0.25">
      <c r="B301" s="62"/>
      <c r="C301" s="159"/>
      <c r="D301" s="62"/>
      <c r="E301" s="62"/>
      <c r="F301" s="62"/>
      <c r="G301" s="62"/>
      <c r="H301" s="62"/>
      <c r="I301" s="112"/>
      <c r="J301" s="62"/>
      <c r="K301" s="62"/>
      <c r="L301" s="62"/>
      <c r="M301" s="62"/>
      <c r="N301" s="62"/>
    </row>
    <row r="302" ht="26" customHeight="1" spans="2:14" x14ac:dyDescent="0.25">
      <c r="B302" s="62"/>
      <c r="C302" s="159"/>
      <c r="D302" s="62"/>
      <c r="E302" s="62"/>
      <c r="F302" s="62"/>
      <c r="G302" s="62"/>
      <c r="H302" s="62"/>
      <c r="I302" s="112"/>
      <c r="J302" s="62"/>
      <c r="K302" s="62"/>
      <c r="L302" s="62"/>
      <c r="M302" s="62"/>
      <c r="N302" s="62"/>
    </row>
    <row r="303" ht="26" customHeight="1" spans="2:14" x14ac:dyDescent="0.25">
      <c r="B303" s="62"/>
      <c r="C303" s="159"/>
      <c r="D303" s="62"/>
      <c r="E303" s="62"/>
      <c r="F303" s="62"/>
      <c r="G303" s="62"/>
      <c r="H303" s="62"/>
      <c r="I303" s="112"/>
      <c r="J303" s="62"/>
      <c r="K303" s="62"/>
      <c r="L303" s="62"/>
      <c r="M303" s="62"/>
      <c r="N303" s="62"/>
    </row>
    <row r="304" ht="26" customHeight="1" spans="2:14" x14ac:dyDescent="0.25">
      <c r="B304" s="62"/>
      <c r="C304" s="159"/>
      <c r="D304" s="62"/>
      <c r="E304" s="62"/>
      <c r="F304" s="62"/>
      <c r="G304" s="62"/>
      <c r="H304" s="62"/>
      <c r="I304" s="112"/>
      <c r="J304" s="62"/>
      <c r="K304" s="62"/>
      <c r="L304" s="62"/>
      <c r="M304" s="62"/>
      <c r="N304" s="62"/>
    </row>
    <row r="305" ht="26" customHeight="1" spans="2:14" x14ac:dyDescent="0.25">
      <c r="B305" s="62"/>
      <c r="C305" s="159"/>
      <c r="D305" s="62"/>
      <c r="E305" s="62"/>
      <c r="F305" s="62"/>
      <c r="G305" s="62"/>
      <c r="H305" s="62"/>
      <c r="I305" s="112"/>
      <c r="J305" s="62"/>
      <c r="K305" s="62"/>
      <c r="L305" s="62"/>
      <c r="M305" s="62"/>
      <c r="N305" s="62"/>
    </row>
    <row r="306" ht="26" customHeight="1" spans="2:14" x14ac:dyDescent="0.25">
      <c r="B306" s="62"/>
      <c r="C306" s="159"/>
      <c r="D306" s="62"/>
      <c r="E306" s="62"/>
      <c r="F306" s="62"/>
      <c r="G306" s="62"/>
      <c r="H306" s="62"/>
      <c r="I306" s="112"/>
      <c r="J306" s="62"/>
      <c r="K306" s="62"/>
      <c r="L306" s="62"/>
      <c r="M306" s="62"/>
      <c r="N306" s="62"/>
    </row>
    <row r="307" ht="26" customHeight="1" spans="2:14" x14ac:dyDescent="0.25">
      <c r="B307" s="62"/>
      <c r="C307" s="159"/>
      <c r="D307" s="62"/>
      <c r="E307" s="62"/>
      <c r="F307" s="62"/>
      <c r="G307" s="62"/>
      <c r="H307" s="62"/>
      <c r="I307" s="112"/>
      <c r="J307" s="62"/>
      <c r="K307" s="62"/>
      <c r="L307" s="62"/>
      <c r="M307" s="62"/>
      <c r="N307" s="62"/>
    </row>
    <row r="308" ht="26" customHeight="1" spans="2:14" x14ac:dyDescent="0.25">
      <c r="B308" s="62"/>
      <c r="C308" s="159"/>
      <c r="D308" s="62"/>
      <c r="E308" s="62"/>
      <c r="F308" s="62"/>
      <c r="G308" s="62"/>
      <c r="H308" s="62"/>
      <c r="I308" s="112"/>
      <c r="J308" s="62"/>
      <c r="K308" s="62"/>
      <c r="L308" s="62"/>
      <c r="M308" s="62"/>
      <c r="N308" s="62"/>
    </row>
    <row r="309" ht="26" customHeight="1" spans="2:14" x14ac:dyDescent="0.25">
      <c r="B309" s="62"/>
      <c r="C309" s="159"/>
      <c r="D309" s="62"/>
      <c r="E309" s="62"/>
      <c r="F309" s="62"/>
      <c r="G309" s="62"/>
      <c r="H309" s="62"/>
      <c r="I309" s="112"/>
      <c r="J309" s="62"/>
      <c r="K309" s="62"/>
      <c r="L309" s="62"/>
      <c r="M309" s="62"/>
      <c r="N309" s="62"/>
    </row>
    <row r="310" ht="26" customHeight="1" spans="2:14" x14ac:dyDescent="0.25">
      <c r="B310" s="62"/>
      <c r="C310" s="159"/>
      <c r="D310" s="62"/>
      <c r="E310" s="62"/>
      <c r="F310" s="62"/>
      <c r="G310" s="62"/>
      <c r="H310" s="62"/>
      <c r="I310" s="112"/>
      <c r="J310" s="62"/>
      <c r="K310" s="62"/>
      <c r="L310" s="62"/>
      <c r="M310" s="62"/>
      <c r="N310" s="62"/>
    </row>
    <row r="311" ht="26" customHeight="1" spans="2:14" x14ac:dyDescent="0.25">
      <c r="B311" s="62"/>
      <c r="C311" s="159"/>
      <c r="D311" s="62"/>
      <c r="E311" s="62"/>
      <c r="F311" s="62"/>
      <c r="G311" s="62"/>
      <c r="H311" s="62"/>
      <c r="I311" s="112"/>
      <c r="J311" s="62"/>
      <c r="K311" s="62"/>
      <c r="L311" s="62"/>
      <c r="M311" s="62"/>
      <c r="N311" s="62"/>
    </row>
    <row r="312" ht="26" customHeight="1" spans="2:14" x14ac:dyDescent="0.25">
      <c r="B312" s="62"/>
      <c r="C312" s="159"/>
      <c r="D312" s="62"/>
      <c r="E312" s="62"/>
      <c r="F312" s="62"/>
      <c r="G312" s="62"/>
      <c r="H312" s="62"/>
      <c r="I312" s="112"/>
      <c r="J312" s="62"/>
      <c r="K312" s="62"/>
      <c r="L312" s="62"/>
      <c r="M312" s="62"/>
      <c r="N312" s="62"/>
    </row>
    <row r="313" ht="26" customHeight="1" spans="2:14" x14ac:dyDescent="0.25">
      <c r="B313" s="62"/>
      <c r="C313" s="159"/>
      <c r="D313" s="62"/>
      <c r="E313" s="62"/>
      <c r="F313" s="62"/>
      <c r="G313" s="62"/>
      <c r="H313" s="62"/>
      <c r="I313" s="112"/>
      <c r="J313" s="62"/>
      <c r="K313" s="62"/>
      <c r="L313" s="62"/>
      <c r="M313" s="62"/>
      <c r="N313" s="62"/>
    </row>
    <row r="314" ht="26" customHeight="1" spans="2:14" x14ac:dyDescent="0.25">
      <c r="B314" s="62"/>
      <c r="C314" s="159"/>
      <c r="D314" s="62"/>
      <c r="E314" s="62"/>
      <c r="F314" s="62"/>
      <c r="G314" s="62"/>
      <c r="H314" s="62"/>
      <c r="I314" s="112"/>
      <c r="J314" s="62"/>
      <c r="K314" s="62"/>
      <c r="L314" s="62"/>
      <c r="M314" s="62"/>
      <c r="N314" s="62"/>
    </row>
    <row r="315" ht="26" customHeight="1" spans="2:14" x14ac:dyDescent="0.25">
      <c r="B315" s="62"/>
      <c r="C315" s="159"/>
      <c r="D315" s="62"/>
      <c r="E315" s="62"/>
      <c r="F315" s="62"/>
      <c r="G315" s="62"/>
      <c r="H315" s="62"/>
      <c r="I315" s="112"/>
      <c r="J315" s="62"/>
      <c r="K315" s="62"/>
      <c r="L315" s="62"/>
      <c r="M315" s="62"/>
      <c r="N315" s="62"/>
    </row>
    <row r="316" ht="26" customHeight="1" spans="2:14" x14ac:dyDescent="0.25">
      <c r="B316" s="62"/>
      <c r="C316" s="159"/>
      <c r="D316" s="62"/>
      <c r="E316" s="62"/>
      <c r="F316" s="62"/>
      <c r="G316" s="62"/>
      <c r="H316" s="62"/>
      <c r="I316" s="112"/>
      <c r="J316" s="62"/>
      <c r="K316" s="62"/>
      <c r="L316" s="62"/>
      <c r="M316" s="62"/>
      <c r="N316" s="62"/>
    </row>
    <row r="317" ht="26" customHeight="1" spans="2:14" x14ac:dyDescent="0.25">
      <c r="B317" s="62"/>
      <c r="C317" s="159"/>
      <c r="D317" s="62"/>
      <c r="E317" s="62"/>
      <c r="F317" s="62"/>
      <c r="G317" s="62"/>
      <c r="H317" s="62"/>
      <c r="I317" s="112"/>
      <c r="J317" s="62"/>
      <c r="K317" s="62"/>
      <c r="L317" s="62"/>
      <c r="M317" s="62"/>
      <c r="N317" s="62"/>
    </row>
    <row r="318" ht="26" customHeight="1" spans="2:14" x14ac:dyDescent="0.25">
      <c r="B318" s="62"/>
      <c r="C318" s="159"/>
      <c r="D318" s="62"/>
      <c r="E318" s="62"/>
      <c r="F318" s="62"/>
      <c r="G318" s="62"/>
      <c r="H318" s="62"/>
      <c r="I318" s="112"/>
      <c r="J318" s="62"/>
      <c r="K318" s="62"/>
      <c r="L318" s="62"/>
      <c r="M318" s="62"/>
      <c r="N318" s="62"/>
    </row>
    <row r="319" ht="26" customHeight="1" spans="2:14" x14ac:dyDescent="0.25">
      <c r="B319" s="62"/>
      <c r="C319" s="159"/>
      <c r="D319" s="62"/>
      <c r="E319" s="62"/>
      <c r="F319" s="62"/>
      <c r="G319" s="62"/>
      <c r="H319" s="62"/>
      <c r="I319" s="112"/>
      <c r="J319" s="62"/>
      <c r="K319" s="62"/>
      <c r="L319" s="62"/>
      <c r="M319" s="62"/>
      <c r="N319" s="62"/>
    </row>
    <row r="320" ht="26" customHeight="1" spans="2:14" x14ac:dyDescent="0.25">
      <c r="B320" s="62"/>
      <c r="C320" s="159"/>
      <c r="D320" s="62"/>
      <c r="E320" s="62"/>
      <c r="F320" s="62"/>
      <c r="G320" s="62"/>
      <c r="H320" s="62"/>
      <c r="I320" s="112"/>
      <c r="J320" s="62"/>
      <c r="K320" s="62"/>
      <c r="L320" s="62"/>
      <c r="M320" s="62"/>
      <c r="N320" s="62"/>
    </row>
    <row r="321" ht="26" customHeight="1" spans="2:14" x14ac:dyDescent="0.25">
      <c r="B321" s="62"/>
      <c r="C321" s="159"/>
      <c r="D321" s="62"/>
      <c r="E321" s="62"/>
      <c r="F321" s="62"/>
      <c r="G321" s="62"/>
      <c r="H321" s="62"/>
      <c r="I321" s="112"/>
      <c r="J321" s="62"/>
      <c r="K321" s="62"/>
      <c r="L321" s="62"/>
      <c r="M321" s="62"/>
      <c r="N321" s="62"/>
    </row>
    <row r="322" ht="26" customHeight="1" spans="2:14" x14ac:dyDescent="0.25">
      <c r="B322" s="62"/>
      <c r="C322" s="159"/>
      <c r="D322" s="62"/>
      <c r="E322" s="62"/>
      <c r="F322" s="62"/>
      <c r="G322" s="62"/>
      <c r="H322" s="62"/>
      <c r="I322" s="112"/>
      <c r="J322" s="62"/>
      <c r="K322" s="62"/>
      <c r="L322" s="62"/>
      <c r="M322" s="62"/>
      <c r="N322" s="62"/>
    </row>
    <row r="323" ht="26" customHeight="1" spans="2:14" x14ac:dyDescent="0.25">
      <c r="B323" s="62"/>
      <c r="C323" s="159"/>
      <c r="D323" s="62"/>
      <c r="E323" s="62"/>
      <c r="F323" s="62"/>
      <c r="G323" s="62"/>
      <c r="H323" s="62"/>
      <c r="I323" s="112"/>
      <c r="J323" s="62"/>
      <c r="K323" s="62"/>
      <c r="L323" s="62"/>
      <c r="M323" s="62"/>
      <c r="N323" s="62"/>
    </row>
    <row r="324" ht="26" customHeight="1" spans="2:14" x14ac:dyDescent="0.25">
      <c r="B324" s="62"/>
      <c r="C324" s="159"/>
      <c r="D324" s="62"/>
      <c r="E324" s="62"/>
      <c r="F324" s="62"/>
      <c r="G324" s="62"/>
      <c r="H324" s="62"/>
      <c r="I324" s="112"/>
      <c r="J324" s="62"/>
      <c r="K324" s="62"/>
      <c r="L324" s="62"/>
      <c r="M324" s="62"/>
      <c r="N324" s="62"/>
    </row>
    <row r="325" ht="26" customHeight="1" spans="2:14" x14ac:dyDescent="0.25">
      <c r="B325" s="62"/>
      <c r="C325" s="159"/>
      <c r="D325" s="62"/>
      <c r="E325" s="62"/>
      <c r="F325" s="62"/>
      <c r="G325" s="62"/>
      <c r="H325" s="62"/>
      <c r="I325" s="112"/>
      <c r="J325" s="62"/>
      <c r="K325" s="62"/>
      <c r="L325" s="62"/>
      <c r="M325" s="62"/>
      <c r="N325" s="62"/>
    </row>
    <row r="326" ht="26" customHeight="1" spans="2:14" x14ac:dyDescent="0.25">
      <c r="B326" s="62"/>
      <c r="C326" s="159"/>
      <c r="D326" s="62"/>
      <c r="E326" s="62"/>
      <c r="F326" s="62"/>
      <c r="G326" s="62"/>
      <c r="H326" s="62"/>
      <c r="I326" s="112"/>
      <c r="J326" s="62"/>
      <c r="K326" s="62"/>
      <c r="L326" s="62"/>
      <c r="M326" s="62"/>
      <c r="N326" s="62"/>
    </row>
    <row r="327" ht="26" customHeight="1" spans="2:14" x14ac:dyDescent="0.25">
      <c r="B327" s="62"/>
      <c r="C327" s="159"/>
      <c r="D327" s="62"/>
      <c r="E327" s="62"/>
      <c r="F327" s="62"/>
      <c r="G327" s="62"/>
      <c r="H327" s="62"/>
      <c r="I327" s="112"/>
      <c r="J327" s="62"/>
      <c r="K327" s="62"/>
      <c r="L327" s="62"/>
      <c r="M327" s="62"/>
      <c r="N327" s="62"/>
    </row>
    <row r="328" ht="26" customHeight="1" spans="2:14" x14ac:dyDescent="0.25">
      <c r="B328" s="62"/>
      <c r="C328" s="159"/>
      <c r="D328" s="62"/>
      <c r="E328" s="62"/>
      <c r="F328" s="62"/>
      <c r="G328" s="62"/>
      <c r="H328" s="62"/>
      <c r="I328" s="112"/>
      <c r="J328" s="62"/>
      <c r="K328" s="62"/>
      <c r="L328" s="62"/>
      <c r="M328" s="62"/>
      <c r="N328" s="62"/>
    </row>
    <row r="329" ht="26" customHeight="1" spans="2:14" x14ac:dyDescent="0.25">
      <c r="B329" s="62"/>
      <c r="C329" s="159"/>
      <c r="D329" s="62"/>
      <c r="E329" s="62"/>
      <c r="F329" s="62"/>
      <c r="G329" s="62"/>
      <c r="H329" s="62"/>
      <c r="I329" s="112"/>
      <c r="J329" s="62"/>
      <c r="K329" s="62"/>
      <c r="L329" s="62"/>
      <c r="M329" s="62"/>
      <c r="N329" s="62"/>
    </row>
    <row r="330" ht="26" customHeight="1" spans="2:14" x14ac:dyDescent="0.25">
      <c r="B330" s="62"/>
      <c r="C330" s="159"/>
      <c r="D330" s="62"/>
      <c r="E330" s="62"/>
      <c r="F330" s="62"/>
      <c r="G330" s="62"/>
      <c r="H330" s="62"/>
      <c r="I330" s="112"/>
      <c r="J330" s="62"/>
      <c r="K330" s="62"/>
      <c r="L330" s="62"/>
      <c r="M330" s="62"/>
      <c r="N330" s="62"/>
    </row>
    <row r="331" ht="26" customHeight="1" spans="2:14" x14ac:dyDescent="0.25">
      <c r="B331" s="62"/>
      <c r="C331" s="159"/>
      <c r="D331" s="62"/>
      <c r="E331" s="62"/>
      <c r="F331" s="62"/>
      <c r="G331" s="62"/>
      <c r="H331" s="62"/>
      <c r="I331" s="112"/>
      <c r="J331" s="62"/>
      <c r="K331" s="62"/>
      <c r="L331" s="62"/>
      <c r="M331" s="62"/>
      <c r="N331" s="62"/>
    </row>
    <row r="332" ht="26" customHeight="1" spans="2:14" x14ac:dyDescent="0.25">
      <c r="B332" s="62"/>
      <c r="C332" s="159"/>
      <c r="D332" s="62"/>
      <c r="E332" s="62"/>
      <c r="F332" s="62"/>
      <c r="G332" s="62"/>
      <c r="H332" s="62"/>
      <c r="I332" s="112"/>
      <c r="J332" s="62"/>
      <c r="K332" s="62"/>
      <c r="L332" s="62"/>
      <c r="M332" s="62"/>
      <c r="N332" s="62"/>
    </row>
    <row r="333" ht="26" customHeight="1" spans="2:14" x14ac:dyDescent="0.25">
      <c r="B333" s="62"/>
      <c r="C333" s="159"/>
      <c r="D333" s="62"/>
      <c r="E333" s="62"/>
      <c r="F333" s="62"/>
      <c r="G333" s="62"/>
      <c r="H333" s="62"/>
      <c r="I333" s="112"/>
      <c r="J333" s="62"/>
      <c r="K333" s="62"/>
      <c r="L333" s="62"/>
      <c r="M333" s="62"/>
      <c r="N333" s="62"/>
    </row>
    <row r="334" ht="26" customHeight="1" spans="2:14" x14ac:dyDescent="0.25">
      <c r="B334" s="62"/>
      <c r="C334" s="159"/>
      <c r="D334" s="62"/>
      <c r="E334" s="62"/>
      <c r="F334" s="62"/>
      <c r="G334" s="62"/>
      <c r="H334" s="62"/>
      <c r="I334" s="112"/>
      <c r="J334" s="62"/>
      <c r="K334" s="62"/>
      <c r="L334" s="62"/>
      <c r="M334" s="62"/>
      <c r="N334" s="62"/>
    </row>
    <row r="335" ht="26" customHeight="1" spans="2:14" x14ac:dyDescent="0.25">
      <c r="B335" s="62"/>
      <c r="C335" s="159"/>
      <c r="D335" s="62"/>
      <c r="E335" s="62"/>
      <c r="F335" s="62"/>
      <c r="G335" s="62"/>
      <c r="H335" s="62"/>
      <c r="I335" s="112"/>
      <c r="J335" s="62"/>
      <c r="K335" s="62"/>
      <c r="L335" s="62"/>
      <c r="M335" s="62"/>
      <c r="N335" s="62"/>
    </row>
    <row r="336" ht="26" customHeight="1" spans="2:14" x14ac:dyDescent="0.25">
      <c r="B336" s="62"/>
      <c r="C336" s="159"/>
      <c r="D336" s="62"/>
      <c r="E336" s="62"/>
      <c r="F336" s="62"/>
      <c r="G336" s="62"/>
      <c r="H336" s="62"/>
      <c r="I336" s="112"/>
      <c r="J336" s="62"/>
      <c r="K336" s="62"/>
      <c r="L336" s="62"/>
      <c r="M336" s="62"/>
      <c r="N336" s="62"/>
    </row>
    <row r="337" ht="26" customHeight="1" spans="2:14" x14ac:dyDescent="0.25">
      <c r="B337" s="62"/>
      <c r="C337" s="159"/>
      <c r="D337" s="62"/>
      <c r="E337" s="62"/>
      <c r="F337" s="62"/>
      <c r="G337" s="62"/>
      <c r="H337" s="62"/>
      <c r="I337" s="112"/>
      <c r="J337" s="62"/>
      <c r="K337" s="62"/>
      <c r="L337" s="62"/>
      <c r="M337" s="62"/>
      <c r="N337" s="62"/>
    </row>
    <row r="338" ht="26" customHeight="1" spans="2:14" x14ac:dyDescent="0.25">
      <c r="B338" s="62"/>
      <c r="C338" s="159"/>
      <c r="D338" s="62"/>
      <c r="E338" s="62"/>
      <c r="F338" s="62"/>
      <c r="G338" s="62"/>
      <c r="H338" s="62"/>
      <c r="I338" s="112"/>
      <c r="J338" s="62"/>
      <c r="K338" s="62"/>
      <c r="L338" s="62"/>
      <c r="M338" s="62"/>
      <c r="N338" s="62"/>
    </row>
    <row r="339" ht="26" customHeight="1" spans="2:14" x14ac:dyDescent="0.25">
      <c r="B339" s="62"/>
      <c r="C339" s="159"/>
      <c r="D339" s="62"/>
      <c r="E339" s="62"/>
      <c r="F339" s="62"/>
      <c r="G339" s="62"/>
      <c r="H339" s="62"/>
      <c r="I339" s="112"/>
      <c r="J339" s="62"/>
      <c r="K339" s="62"/>
      <c r="L339" s="62"/>
      <c r="M339" s="62"/>
      <c r="N339" s="62"/>
    </row>
    <row r="340" ht="26" customHeight="1" spans="2:14" x14ac:dyDescent="0.25">
      <c r="B340" s="62"/>
      <c r="C340" s="159"/>
      <c r="D340" s="62"/>
      <c r="E340" s="62"/>
      <c r="F340" s="62"/>
      <c r="G340" s="62"/>
      <c r="H340" s="62"/>
      <c r="I340" s="112"/>
      <c r="J340" s="62"/>
      <c r="K340" s="62"/>
      <c r="L340" s="62"/>
      <c r="M340" s="62"/>
      <c r="N340" s="62"/>
    </row>
    <row r="341" ht="26" customHeight="1" spans="2:14" x14ac:dyDescent="0.25">
      <c r="B341" s="62"/>
      <c r="C341" s="159"/>
      <c r="D341" s="62"/>
      <c r="E341" s="62"/>
      <c r="F341" s="62"/>
      <c r="G341" s="62"/>
      <c r="H341" s="62"/>
      <c r="I341" s="112"/>
      <c r="J341" s="62"/>
      <c r="K341" s="62"/>
      <c r="L341" s="62"/>
      <c r="M341" s="62"/>
      <c r="N341" s="62"/>
    </row>
    <row r="342" ht="26" customHeight="1" spans="2:14" x14ac:dyDescent="0.25">
      <c r="B342" s="62"/>
      <c r="C342" s="159"/>
      <c r="D342" s="62"/>
      <c r="E342" s="62"/>
      <c r="F342" s="62"/>
      <c r="G342" s="62"/>
      <c r="H342" s="62"/>
      <c r="I342" s="112"/>
      <c r="J342" s="62"/>
      <c r="K342" s="62"/>
      <c r="L342" s="62"/>
      <c r="M342" s="62"/>
      <c r="N342" s="62"/>
    </row>
    <row r="343" ht="26" customHeight="1" spans="2:14" x14ac:dyDescent="0.25">
      <c r="B343" s="62"/>
      <c r="C343" s="159"/>
      <c r="D343" s="62"/>
      <c r="E343" s="62"/>
      <c r="F343" s="62"/>
      <c r="G343" s="62"/>
      <c r="H343" s="62"/>
      <c r="I343" s="112"/>
      <c r="J343" s="62"/>
      <c r="K343" s="62"/>
      <c r="L343" s="62"/>
      <c r="M343" s="62"/>
      <c r="N343" s="62"/>
    </row>
    <row r="344" ht="26" customHeight="1" spans="2:14" x14ac:dyDescent="0.25">
      <c r="B344" s="62"/>
      <c r="C344" s="159"/>
      <c r="D344" s="62"/>
      <c r="E344" s="62"/>
      <c r="F344" s="62"/>
      <c r="G344" s="62"/>
      <c r="H344" s="62"/>
      <c r="I344" s="112"/>
      <c r="J344" s="62"/>
      <c r="K344" s="62"/>
      <c r="L344" s="62"/>
      <c r="M344" s="62"/>
      <c r="N344" s="62"/>
    </row>
    <row r="345" ht="26" customHeight="1" spans="2:14" x14ac:dyDescent="0.25">
      <c r="B345" s="62"/>
      <c r="C345" s="159"/>
      <c r="D345" s="62"/>
      <c r="E345" s="62"/>
      <c r="F345" s="62"/>
      <c r="G345" s="62"/>
      <c r="H345" s="62"/>
      <c r="I345" s="112"/>
      <c r="J345" s="62"/>
      <c r="K345" s="62"/>
      <c r="L345" s="62"/>
      <c r="M345" s="62"/>
      <c r="N345" s="62"/>
    </row>
    <row r="346" ht="26" customHeight="1" spans="2:14" x14ac:dyDescent="0.25">
      <c r="B346" s="62"/>
      <c r="C346" s="159"/>
      <c r="D346" s="62"/>
      <c r="E346" s="62"/>
      <c r="F346" s="62"/>
      <c r="G346" s="62"/>
      <c r="H346" s="62"/>
      <c r="I346" s="112"/>
      <c r="J346" s="62"/>
      <c r="K346" s="62"/>
      <c r="L346" s="62"/>
      <c r="M346" s="62"/>
      <c r="N346" s="62"/>
    </row>
    <row r="347" ht="26" customHeight="1" spans="2:14" x14ac:dyDescent="0.25">
      <c r="B347" s="62"/>
      <c r="C347" s="159"/>
      <c r="D347" s="62"/>
      <c r="E347" s="62"/>
      <c r="F347" s="62"/>
      <c r="G347" s="62"/>
      <c r="H347" s="62"/>
      <c r="I347" s="112"/>
      <c r="J347" s="62"/>
      <c r="K347" s="62"/>
      <c r="L347" s="62"/>
      <c r="M347" s="62"/>
      <c r="N347" s="62"/>
    </row>
    <row r="348" ht="26" customHeight="1" spans="2:14" x14ac:dyDescent="0.25">
      <c r="B348" s="62"/>
      <c r="C348" s="159"/>
      <c r="D348" s="62"/>
      <c r="E348" s="62"/>
      <c r="F348" s="62"/>
      <c r="G348" s="62"/>
      <c r="H348" s="62"/>
      <c r="I348" s="112"/>
      <c r="J348" s="62"/>
      <c r="K348" s="62"/>
      <c r="L348" s="62"/>
      <c r="M348" s="62"/>
      <c r="N348" s="62"/>
    </row>
    <row r="349" ht="26" customHeight="1" spans="2:14" x14ac:dyDescent="0.25">
      <c r="B349" s="62"/>
      <c r="C349" s="159"/>
      <c r="D349" s="62"/>
      <c r="E349" s="62"/>
      <c r="F349" s="62"/>
      <c r="G349" s="62"/>
      <c r="H349" s="62"/>
      <c r="I349" s="112"/>
      <c r="J349" s="62"/>
      <c r="K349" s="62"/>
      <c r="L349" s="62"/>
      <c r="M349" s="62"/>
      <c r="N349" s="62"/>
    </row>
    <row r="350" ht="26" customHeight="1" spans="2:14" x14ac:dyDescent="0.25">
      <c r="B350" s="62"/>
      <c r="C350" s="159"/>
      <c r="D350" s="62"/>
      <c r="E350" s="62"/>
      <c r="F350" s="62"/>
      <c r="G350" s="62"/>
      <c r="H350" s="62"/>
      <c r="I350" s="112"/>
      <c r="J350" s="62"/>
      <c r="K350" s="62"/>
      <c r="L350" s="62"/>
      <c r="M350" s="62"/>
      <c r="N350" s="62"/>
    </row>
    <row r="351" ht="26" customHeight="1" spans="2:14" x14ac:dyDescent="0.25">
      <c r="B351" s="62"/>
      <c r="C351" s="159"/>
      <c r="D351" s="62"/>
      <c r="E351" s="62"/>
      <c r="F351" s="62"/>
      <c r="G351" s="62"/>
      <c r="H351" s="62"/>
      <c r="I351" s="112"/>
      <c r="J351" s="62"/>
      <c r="K351" s="62"/>
      <c r="L351" s="62"/>
      <c r="M351" s="62"/>
      <c r="N351" s="62"/>
    </row>
    <row r="352" ht="26" customHeight="1" spans="2:14" x14ac:dyDescent="0.25">
      <c r="B352" s="62"/>
      <c r="C352" s="159"/>
      <c r="D352" s="62"/>
      <c r="E352" s="62"/>
      <c r="F352" s="62"/>
      <c r="G352" s="62"/>
      <c r="H352" s="62"/>
      <c r="I352" s="112"/>
      <c r="J352" s="62"/>
      <c r="K352" s="62"/>
      <c r="L352" s="62"/>
      <c r="M352" s="62"/>
      <c r="N352" s="62"/>
    </row>
    <row r="353" ht="26" customHeight="1" spans="2:14" x14ac:dyDescent="0.25">
      <c r="B353" s="62"/>
      <c r="C353" s="159"/>
      <c r="D353" s="62"/>
      <c r="E353" s="62"/>
      <c r="F353" s="62"/>
      <c r="G353" s="62"/>
      <c r="H353" s="62"/>
      <c r="I353" s="112"/>
      <c r="J353" s="62"/>
      <c r="K353" s="62"/>
      <c r="L353" s="62"/>
      <c r="M353" s="62"/>
      <c r="N353" s="62"/>
    </row>
    <row r="354" ht="26" customHeight="1" spans="2:14" x14ac:dyDescent="0.25">
      <c r="B354" s="62"/>
      <c r="C354" s="159"/>
      <c r="D354" s="62"/>
      <c r="E354" s="62"/>
      <c r="F354" s="62"/>
      <c r="G354" s="62"/>
      <c r="H354" s="62"/>
      <c r="I354" s="112"/>
      <c r="J354" s="62"/>
      <c r="K354" s="62"/>
      <c r="L354" s="62"/>
      <c r="M354" s="62"/>
      <c r="N354" s="62"/>
    </row>
    <row r="355" ht="26" customHeight="1" spans="2:14" x14ac:dyDescent="0.25">
      <c r="B355" s="62"/>
      <c r="C355" s="159"/>
      <c r="D355" s="62"/>
      <c r="E355" s="62"/>
      <c r="F355" s="62"/>
      <c r="G355" s="62"/>
      <c r="H355" s="62"/>
      <c r="I355" s="112"/>
      <c r="J355" s="62"/>
      <c r="K355" s="62"/>
      <c r="L355" s="62"/>
      <c r="M355" s="62"/>
      <c r="N355" s="62"/>
    </row>
    <row r="356" ht="26" customHeight="1" spans="2:14" x14ac:dyDescent="0.25">
      <c r="B356" s="62"/>
      <c r="C356" s="159"/>
      <c r="D356" s="62"/>
      <c r="E356" s="62"/>
      <c r="F356" s="62"/>
      <c r="G356" s="62"/>
      <c r="H356" s="62"/>
      <c r="I356" s="112"/>
      <c r="J356" s="62"/>
      <c r="K356" s="62"/>
      <c r="L356" s="62"/>
      <c r="M356" s="62"/>
      <c r="N356" s="62"/>
    </row>
    <row r="357" ht="26" customHeight="1" spans="2:14" x14ac:dyDescent="0.25">
      <c r="B357" s="62"/>
      <c r="C357" s="159"/>
      <c r="D357" s="62"/>
      <c r="E357" s="62"/>
      <c r="F357" s="62"/>
      <c r="G357" s="62"/>
      <c r="H357" s="62"/>
      <c r="I357" s="112"/>
      <c r="J357" s="62"/>
      <c r="K357" s="62"/>
      <c r="L357" s="62"/>
      <c r="M357" s="62"/>
      <c r="N357" s="62"/>
    </row>
    <row r="358" ht="26" customHeight="1" spans="2:14" x14ac:dyDescent="0.25">
      <c r="B358" s="62"/>
      <c r="C358" s="159"/>
      <c r="D358" s="62"/>
      <c r="E358" s="62"/>
      <c r="F358" s="62"/>
      <c r="G358" s="62"/>
      <c r="H358" s="62"/>
      <c r="I358" s="112"/>
      <c r="J358" s="62"/>
      <c r="K358" s="62"/>
      <c r="L358" s="62"/>
      <c r="M358" s="62"/>
      <c r="N358" s="62"/>
    </row>
    <row r="359" ht="26" customHeight="1" spans="2:14" x14ac:dyDescent="0.25">
      <c r="B359" s="62"/>
      <c r="C359" s="159"/>
      <c r="D359" s="62"/>
      <c r="E359" s="62"/>
      <c r="F359" s="62"/>
      <c r="G359" s="62"/>
      <c r="H359" s="62"/>
      <c r="I359" s="112"/>
      <c r="J359" s="62"/>
      <c r="K359" s="62"/>
      <c r="L359" s="62"/>
      <c r="M359" s="62"/>
      <c r="N359" s="62"/>
    </row>
    <row r="360" ht="26" customHeight="1" spans="2:14" x14ac:dyDescent="0.25">
      <c r="B360" s="62"/>
      <c r="C360" s="159"/>
      <c r="D360" s="62"/>
      <c r="E360" s="62"/>
      <c r="F360" s="62"/>
      <c r="G360" s="62"/>
      <c r="H360" s="62"/>
      <c r="I360" s="112"/>
      <c r="J360" s="62"/>
      <c r="K360" s="62"/>
      <c r="L360" s="62"/>
      <c r="M360" s="62"/>
      <c r="N360" s="62"/>
    </row>
    <row r="361" ht="26" customHeight="1" spans="2:14" x14ac:dyDescent="0.25">
      <c r="B361" s="62"/>
      <c r="C361" s="159"/>
      <c r="D361" s="62"/>
      <c r="E361" s="62"/>
      <c r="F361" s="62"/>
      <c r="G361" s="62"/>
      <c r="H361" s="62"/>
      <c r="I361" s="112"/>
      <c r="J361" s="62"/>
      <c r="K361" s="62"/>
      <c r="L361" s="62"/>
      <c r="M361" s="62"/>
      <c r="N361" s="62"/>
    </row>
    <row r="362" ht="26" customHeight="1" spans="2:14" x14ac:dyDescent="0.25">
      <c r="B362" s="62"/>
      <c r="C362" s="159"/>
      <c r="D362" s="62"/>
      <c r="E362" s="62"/>
      <c r="F362" s="62"/>
      <c r="G362" s="62"/>
      <c r="H362" s="62"/>
      <c r="I362" s="112"/>
      <c r="J362" s="62"/>
      <c r="K362" s="62"/>
      <c r="L362" s="62"/>
      <c r="M362" s="62"/>
      <c r="N362" s="62"/>
    </row>
    <row r="363" ht="26" customHeight="1" spans="2:14" x14ac:dyDescent="0.25">
      <c r="B363" s="62"/>
      <c r="C363" s="159"/>
      <c r="D363" s="62"/>
      <c r="E363" s="62"/>
      <c r="F363" s="62"/>
      <c r="G363" s="62"/>
      <c r="H363" s="62"/>
      <c r="I363" s="112"/>
      <c r="J363" s="62"/>
      <c r="K363" s="62"/>
      <c r="L363" s="62"/>
      <c r="M363" s="62"/>
      <c r="N363" s="62"/>
    </row>
    <row r="364" ht="26" customHeight="1" spans="2:14" x14ac:dyDescent="0.25">
      <c r="B364" s="62"/>
      <c r="C364" s="159"/>
      <c r="D364" s="62"/>
      <c r="E364" s="62"/>
      <c r="F364" s="62"/>
      <c r="G364" s="62"/>
      <c r="H364" s="62"/>
      <c r="I364" s="112"/>
      <c r="J364" s="62"/>
      <c r="K364" s="62"/>
      <c r="L364" s="62"/>
      <c r="M364" s="62"/>
      <c r="N364" s="62"/>
    </row>
    <row r="365" ht="26" customHeight="1" spans="2:14" x14ac:dyDescent="0.25">
      <c r="B365" s="62"/>
      <c r="C365" s="159"/>
      <c r="D365" s="62"/>
      <c r="E365" s="62"/>
      <c r="F365" s="62"/>
      <c r="G365" s="62"/>
      <c r="H365" s="62"/>
      <c r="I365" s="112"/>
      <c r="J365" s="62"/>
      <c r="K365" s="62"/>
      <c r="L365" s="62"/>
      <c r="M365" s="62"/>
      <c r="N365" s="62"/>
    </row>
    <row r="366" ht="26" customHeight="1" spans="2:14" x14ac:dyDescent="0.25">
      <c r="B366" s="62"/>
      <c r="C366" s="159"/>
      <c r="D366" s="62"/>
      <c r="E366" s="62"/>
      <c r="F366" s="62"/>
      <c r="G366" s="62"/>
      <c r="H366" s="62"/>
      <c r="I366" s="112"/>
      <c r="J366" s="62"/>
      <c r="K366" s="62"/>
      <c r="L366" s="62"/>
      <c r="M366" s="62"/>
      <c r="N366" s="62"/>
    </row>
    <row r="367" ht="26" customHeight="1" spans="2:14" x14ac:dyDescent="0.25">
      <c r="B367" s="62"/>
      <c r="C367" s="159"/>
      <c r="D367" s="62"/>
      <c r="E367" s="62"/>
      <c r="F367" s="62"/>
      <c r="G367" s="62"/>
      <c r="H367" s="62"/>
      <c r="I367" s="112"/>
      <c r="J367" s="62"/>
      <c r="K367" s="62"/>
      <c r="L367" s="62"/>
      <c r="M367" s="62"/>
      <c r="N367" s="62"/>
    </row>
    <row r="368" ht="26" customHeight="1" spans="2:14" x14ac:dyDescent="0.25">
      <c r="B368" s="62"/>
      <c r="C368" s="159"/>
      <c r="D368" s="62"/>
      <c r="E368" s="62"/>
      <c r="F368" s="62"/>
      <c r="G368" s="62"/>
      <c r="H368" s="62"/>
      <c r="I368" s="112"/>
      <c r="J368" s="62"/>
      <c r="K368" s="62"/>
      <c r="L368" s="62"/>
      <c r="M368" s="62"/>
      <c r="N368" s="62"/>
    </row>
    <row r="369" ht="26" customHeight="1" spans="2:14" x14ac:dyDescent="0.25">
      <c r="B369" s="62"/>
      <c r="C369" s="159"/>
      <c r="D369" s="62"/>
      <c r="E369" s="62"/>
      <c r="F369" s="62"/>
      <c r="G369" s="62"/>
      <c r="H369" s="62"/>
      <c r="I369" s="112"/>
      <c r="J369" s="62"/>
      <c r="K369" s="62"/>
      <c r="L369" s="62"/>
      <c r="M369" s="62"/>
      <c r="N369" s="62"/>
    </row>
    <row r="370" spans="2:14" x14ac:dyDescent="0.25">
      <c r="B370" s="62"/>
      <c r="C370" s="159"/>
      <c r="D370" s="62"/>
      <c r="E370" s="62"/>
      <c r="F370" s="62"/>
      <c r="G370" s="62"/>
      <c r="H370" s="62"/>
      <c r="I370" s="112"/>
      <c r="J370" s="62"/>
      <c r="K370" s="62"/>
      <c r="L370" s="62"/>
      <c r="M370" s="62"/>
      <c r="N370" s="62"/>
    </row>
    <row r="371" spans="2:14" x14ac:dyDescent="0.25">
      <c r="B371" s="62"/>
      <c r="C371" s="159"/>
      <c r="D371" s="62"/>
      <c r="E371" s="62"/>
      <c r="F371" s="62"/>
      <c r="G371" s="62"/>
      <c r="H371" s="62"/>
      <c r="I371" s="112"/>
      <c r="J371" s="62"/>
      <c r="K371" s="62"/>
      <c r="L371" s="62"/>
      <c r="M371" s="62"/>
      <c r="N371" s="62"/>
    </row>
    <row r="372" spans="2:14" x14ac:dyDescent="0.25">
      <c r="B372" s="62"/>
      <c r="C372" s="159"/>
      <c r="D372" s="62"/>
      <c r="E372" s="62"/>
      <c r="F372" s="62"/>
      <c r="G372" s="62"/>
      <c r="H372" s="62"/>
      <c r="I372" s="112"/>
      <c r="J372" s="62"/>
      <c r="K372" s="62"/>
      <c r="L372" s="62"/>
      <c r="M372" s="62"/>
      <c r="N372" s="62"/>
    </row>
    <row r="373" spans="2:14" x14ac:dyDescent="0.25">
      <c r="B373" s="62"/>
      <c r="C373" s="159"/>
      <c r="D373" s="62"/>
      <c r="E373" s="62"/>
      <c r="F373" s="62"/>
      <c r="G373" s="62"/>
      <c r="H373" s="62"/>
      <c r="I373" s="112"/>
      <c r="J373" s="62"/>
      <c r="K373" s="62"/>
      <c r="L373" s="62"/>
      <c r="M373" s="62"/>
      <c r="N373" s="62"/>
    </row>
    <row r="374" spans="2:14" x14ac:dyDescent="0.25">
      <c r="B374" s="62"/>
      <c r="C374" s="159"/>
      <c r="D374" s="62"/>
      <c r="E374" s="62"/>
      <c r="F374" s="62"/>
      <c r="G374" s="62"/>
      <c r="H374" s="62"/>
      <c r="I374" s="112"/>
      <c r="J374" s="62"/>
      <c r="K374" s="62"/>
      <c r="L374" s="62"/>
      <c r="M374" s="62"/>
      <c r="N374" s="62"/>
    </row>
    <row r="375" spans="2:14" x14ac:dyDescent="0.25">
      <c r="B375" s="62"/>
      <c r="C375" s="159"/>
      <c r="D375" s="62"/>
      <c r="E375" s="62"/>
      <c r="F375" s="62"/>
      <c r="G375" s="62"/>
      <c r="H375" s="62"/>
      <c r="I375" s="112"/>
      <c r="J375" s="62"/>
      <c r="K375" s="62"/>
      <c r="L375" s="62"/>
      <c r="M375" s="62"/>
      <c r="N375" s="62"/>
    </row>
    <row r="376" spans="2:14" x14ac:dyDescent="0.25">
      <c r="B376" s="62"/>
      <c r="C376" s="159"/>
      <c r="D376" s="62"/>
      <c r="E376" s="62"/>
      <c r="F376" s="62"/>
      <c r="G376" s="62"/>
      <c r="H376" s="62"/>
      <c r="I376" s="112"/>
      <c r="J376" s="62"/>
      <c r="K376" s="62"/>
      <c r="L376" s="62"/>
      <c r="M376" s="62"/>
      <c r="N376" s="62"/>
    </row>
    <row r="377" spans="2:14" x14ac:dyDescent="0.25">
      <c r="B377" s="62"/>
      <c r="C377" s="159"/>
      <c r="D377" s="62"/>
      <c r="E377" s="62"/>
      <c r="F377" s="62"/>
      <c r="G377" s="62"/>
      <c r="H377" s="62"/>
      <c r="I377" s="112"/>
      <c r="J377" s="62"/>
      <c r="K377" s="62"/>
      <c r="L377" s="62"/>
      <c r="M377" s="62"/>
      <c r="N377" s="62"/>
    </row>
    <row r="378" spans="2:14" x14ac:dyDescent="0.25">
      <c r="B378" s="62"/>
      <c r="C378" s="159"/>
      <c r="D378" s="62"/>
      <c r="E378" s="62"/>
      <c r="F378" s="62"/>
      <c r="G378" s="62"/>
      <c r="H378" s="62"/>
      <c r="I378" s="112"/>
      <c r="J378" s="62"/>
      <c r="K378" s="62"/>
      <c r="L378" s="62"/>
      <c r="M378" s="62"/>
      <c r="N378" s="62"/>
    </row>
    <row r="379" spans="2:14" x14ac:dyDescent="0.25">
      <c r="B379" s="62"/>
      <c r="C379" s="159"/>
      <c r="D379" s="62"/>
      <c r="E379" s="62"/>
      <c r="F379" s="62"/>
      <c r="G379" s="62"/>
      <c r="H379" s="62"/>
      <c r="I379" s="112"/>
      <c r="J379" s="62"/>
      <c r="K379" s="62"/>
      <c r="L379" s="62"/>
      <c r="M379" s="62"/>
      <c r="N379" s="62"/>
    </row>
    <row r="380" spans="2:14" x14ac:dyDescent="0.25">
      <c r="B380" s="62"/>
      <c r="C380" s="159"/>
      <c r="D380" s="62"/>
      <c r="E380" s="62"/>
      <c r="F380" s="62"/>
      <c r="G380" s="62"/>
      <c r="H380" s="62"/>
      <c r="I380" s="112"/>
      <c r="J380" s="62"/>
      <c r="K380" s="62"/>
      <c r="L380" s="62"/>
      <c r="M380" s="62"/>
      <c r="N380" s="62"/>
    </row>
    <row r="381" spans="2:14" x14ac:dyDescent="0.25">
      <c r="B381" s="62"/>
      <c r="C381" s="159"/>
      <c r="D381" s="62"/>
      <c r="E381" s="62"/>
      <c r="F381" s="62"/>
      <c r="G381" s="62"/>
      <c r="H381" s="62"/>
      <c r="I381" s="112"/>
      <c r="J381" s="62"/>
      <c r="K381" s="62"/>
      <c r="L381" s="62"/>
      <c r="M381" s="62"/>
      <c r="N381" s="62"/>
    </row>
    <row r="382" spans="2:14" x14ac:dyDescent="0.25">
      <c r="B382" s="62"/>
      <c r="C382" s="159"/>
      <c r="D382" s="62"/>
      <c r="E382" s="62"/>
      <c r="F382" s="62"/>
      <c r="G382" s="62"/>
      <c r="H382" s="62"/>
      <c r="I382" s="112"/>
      <c r="J382" s="62"/>
      <c r="K382" s="62"/>
      <c r="L382" s="62"/>
      <c r="M382" s="62"/>
      <c r="N382" s="62"/>
    </row>
    <row r="383" spans="2:14" x14ac:dyDescent="0.25">
      <c r="B383" s="62"/>
      <c r="C383" s="159"/>
      <c r="D383" s="62"/>
      <c r="E383" s="62"/>
      <c r="F383" s="62"/>
      <c r="G383" s="62"/>
      <c r="H383" s="62"/>
      <c r="I383" s="112"/>
      <c r="J383" s="62"/>
      <c r="K383" s="62"/>
      <c r="L383" s="62"/>
      <c r="M383" s="62"/>
      <c r="N383" s="62"/>
    </row>
    <row r="384" spans="2:14" x14ac:dyDescent="0.25">
      <c r="B384" s="62"/>
      <c r="C384" s="159"/>
      <c r="D384" s="62"/>
      <c r="E384" s="62"/>
      <c r="F384" s="62"/>
      <c r="G384" s="62"/>
      <c r="H384" s="62"/>
      <c r="I384" s="112"/>
      <c r="J384" s="62"/>
      <c r="K384" s="62"/>
      <c r="L384" s="62"/>
      <c r="M384" s="62"/>
      <c r="N384" s="62"/>
    </row>
    <row r="385" spans="2:14" x14ac:dyDescent="0.25">
      <c r="B385" s="62"/>
      <c r="C385" s="159"/>
      <c r="D385" s="62"/>
      <c r="E385" s="62"/>
      <c r="F385" s="62"/>
      <c r="G385" s="62"/>
      <c r="H385" s="62"/>
      <c r="I385" s="112"/>
      <c r="J385" s="62"/>
      <c r="K385" s="62"/>
      <c r="L385" s="62"/>
      <c r="M385" s="62"/>
      <c r="N385" s="62"/>
    </row>
    <row r="386" spans="2:14" x14ac:dyDescent="0.25">
      <c r="B386" s="62"/>
      <c r="C386" s="159"/>
      <c r="D386" s="62"/>
      <c r="E386" s="62"/>
      <c r="F386" s="62"/>
      <c r="G386" s="62"/>
      <c r="H386" s="62"/>
      <c r="I386" s="112"/>
      <c r="J386" s="62"/>
      <c r="K386" s="62"/>
      <c r="L386" s="62"/>
      <c r="M386" s="62"/>
      <c r="N386" s="62"/>
    </row>
    <row r="387" spans="2:14" x14ac:dyDescent="0.25">
      <c r="B387" s="62"/>
      <c r="C387" s="159"/>
      <c r="D387" s="62"/>
      <c r="E387" s="62"/>
      <c r="F387" s="62"/>
      <c r="G387" s="62"/>
      <c r="H387" s="62"/>
      <c r="I387" s="112"/>
      <c r="J387" s="62"/>
      <c r="K387" s="62"/>
      <c r="L387" s="62"/>
      <c r="M387" s="62"/>
      <c r="N387" s="62"/>
    </row>
    <row r="388" spans="2:14" x14ac:dyDescent="0.25">
      <c r="B388" s="62"/>
      <c r="C388" s="159"/>
      <c r="D388" s="62"/>
      <c r="E388" s="62"/>
      <c r="F388" s="62"/>
      <c r="G388" s="62"/>
      <c r="H388" s="62"/>
      <c r="I388" s="112"/>
      <c r="J388" s="62"/>
      <c r="K388" s="62"/>
      <c r="L388" s="62"/>
      <c r="M388" s="62"/>
      <c r="N388" s="62"/>
    </row>
    <row r="389" spans="2:14" x14ac:dyDescent="0.25">
      <c r="B389" s="62"/>
      <c r="C389" s="159"/>
      <c r="D389" s="62"/>
      <c r="E389" s="62"/>
      <c r="F389" s="62"/>
      <c r="G389" s="62"/>
      <c r="H389" s="62"/>
      <c r="I389" s="112"/>
      <c r="J389" s="62"/>
      <c r="K389" s="62"/>
      <c r="L389" s="62"/>
      <c r="M389" s="62"/>
      <c r="N389" s="62"/>
    </row>
    <row r="390" spans="2:14" x14ac:dyDescent="0.25">
      <c r="B390" s="62"/>
      <c r="C390" s="159"/>
      <c r="D390" s="62"/>
      <c r="E390" s="62"/>
      <c r="F390" s="62"/>
      <c r="G390" s="62"/>
      <c r="H390" s="62"/>
      <c r="I390" s="112"/>
      <c r="J390" s="62"/>
      <c r="K390" s="62"/>
      <c r="L390" s="62"/>
      <c r="M390" s="62"/>
      <c r="N390" s="62"/>
    </row>
    <row r="391" spans="2:14" x14ac:dyDescent="0.25">
      <c r="B391" s="62"/>
      <c r="C391" s="159"/>
      <c r="D391" s="62"/>
      <c r="E391" s="62"/>
      <c r="F391" s="62"/>
      <c r="G391" s="62"/>
      <c r="H391" s="62"/>
      <c r="I391" s="112"/>
      <c r="J391" s="62"/>
      <c r="K391" s="62"/>
      <c r="L391" s="62"/>
      <c r="M391" s="62"/>
      <c r="N391" s="62"/>
    </row>
    <row r="392" spans="2:14" x14ac:dyDescent="0.25">
      <c r="B392" s="62"/>
      <c r="C392" s="159"/>
      <c r="D392" s="62"/>
      <c r="E392" s="62"/>
      <c r="F392" s="62"/>
      <c r="G392" s="62"/>
      <c r="H392" s="62"/>
      <c r="I392" s="112"/>
      <c r="J392" s="62"/>
      <c r="K392" s="62"/>
      <c r="L392" s="62"/>
      <c r="M392" s="62"/>
      <c r="N392" s="62"/>
    </row>
    <row r="393" spans="2:14" x14ac:dyDescent="0.25">
      <c r="B393" s="62"/>
      <c r="C393" s="159"/>
      <c r="D393" s="62"/>
      <c r="E393" s="62"/>
      <c r="F393" s="62"/>
      <c r="G393" s="62"/>
      <c r="H393" s="62"/>
      <c r="I393" s="112"/>
      <c r="J393" s="62"/>
      <c r="K393" s="62"/>
      <c r="L393" s="62"/>
      <c r="M393" s="62"/>
      <c r="N393" s="62"/>
    </row>
    <row r="394" spans="2:14" x14ac:dyDescent="0.25">
      <c r="B394" s="62"/>
      <c r="C394" s="159"/>
      <c r="D394" s="62"/>
      <c r="E394" s="62"/>
      <c r="F394" s="62"/>
      <c r="G394" s="62"/>
      <c r="H394" s="62"/>
      <c r="I394" s="112"/>
      <c r="J394" s="62"/>
      <c r="K394" s="62"/>
      <c r="L394" s="62"/>
      <c r="M394" s="62"/>
      <c r="N394" s="62"/>
    </row>
    <row r="395" spans="2:14" x14ac:dyDescent="0.25">
      <c r="B395" s="62"/>
      <c r="C395" s="159"/>
      <c r="D395" s="62"/>
      <c r="E395" s="62"/>
      <c r="F395" s="62"/>
      <c r="G395" s="62"/>
      <c r="H395" s="62"/>
      <c r="I395" s="112"/>
      <c r="J395" s="62"/>
      <c r="K395" s="62"/>
      <c r="L395" s="62"/>
      <c r="M395" s="62"/>
      <c r="N395" s="62"/>
    </row>
    <row r="396" spans="2:14" x14ac:dyDescent="0.25">
      <c r="B396" s="62"/>
      <c r="C396" s="159"/>
      <c r="D396" s="62"/>
      <c r="E396" s="62"/>
      <c r="F396" s="62"/>
      <c r="G396" s="62"/>
      <c r="H396" s="62"/>
      <c r="I396" s="112"/>
      <c r="J396" s="62"/>
      <c r="K396" s="62"/>
      <c r="L396" s="62"/>
      <c r="M396" s="62"/>
      <c r="N396" s="62"/>
    </row>
    <row r="397" spans="2:14" x14ac:dyDescent="0.25">
      <c r="B397" s="62"/>
      <c r="C397" s="159"/>
      <c r="D397" s="62"/>
      <c r="E397" s="62"/>
      <c r="F397" s="62"/>
      <c r="G397" s="62"/>
      <c r="H397" s="62"/>
      <c r="I397" s="112"/>
      <c r="J397" s="62"/>
      <c r="K397" s="62"/>
      <c r="L397" s="62"/>
      <c r="M397" s="62"/>
      <c r="N397" s="62"/>
    </row>
    <row r="398" spans="2:14" x14ac:dyDescent="0.25">
      <c r="B398" s="62"/>
      <c r="C398" s="159"/>
      <c r="D398" s="62"/>
      <c r="E398" s="62"/>
      <c r="F398" s="62"/>
      <c r="G398" s="62"/>
      <c r="H398" s="62"/>
      <c r="I398" s="112"/>
      <c r="J398" s="62"/>
      <c r="K398" s="62"/>
      <c r="L398" s="62"/>
      <c r="M398" s="62"/>
      <c r="N398" s="62"/>
    </row>
    <row r="399" spans="2:14" x14ac:dyDescent="0.25">
      <c r="B399" s="62"/>
      <c r="C399" s="159"/>
      <c r="D399" s="62"/>
      <c r="E399" s="62"/>
      <c r="F399" s="62"/>
      <c r="G399" s="62"/>
      <c r="H399" s="62"/>
      <c r="I399" s="112"/>
      <c r="J399" s="62"/>
      <c r="K399" s="62"/>
      <c r="L399" s="62"/>
      <c r="M399" s="62"/>
      <c r="N399" s="62"/>
    </row>
    <row r="400" spans="2:14" x14ac:dyDescent="0.25">
      <c r="B400" s="62"/>
      <c r="C400" s="159"/>
      <c r="D400" s="62"/>
      <c r="E400" s="62"/>
      <c r="F400" s="62"/>
      <c r="G400" s="62"/>
      <c r="H400" s="62"/>
      <c r="I400" s="112"/>
      <c r="J400" s="62"/>
      <c r="K400" s="62"/>
      <c r="L400" s="62"/>
      <c r="M400" s="62"/>
      <c r="N400" s="62"/>
    </row>
    <row r="401" spans="2:14" x14ac:dyDescent="0.25">
      <c r="B401" s="62"/>
      <c r="C401" s="159"/>
      <c r="D401" s="62"/>
      <c r="E401" s="62"/>
      <c r="F401" s="62"/>
      <c r="G401" s="62"/>
      <c r="H401" s="62"/>
      <c r="I401" s="112"/>
      <c r="J401" s="62"/>
      <c r="K401" s="62"/>
      <c r="L401" s="62"/>
      <c r="M401" s="62"/>
      <c r="N401" s="62"/>
    </row>
    <row r="402" spans="2:14" x14ac:dyDescent="0.25">
      <c r="B402" s="62"/>
      <c r="C402" s="159"/>
      <c r="D402" s="62"/>
      <c r="E402" s="62"/>
      <c r="F402" s="62"/>
      <c r="G402" s="62"/>
      <c r="H402" s="62"/>
      <c r="I402" s="112"/>
      <c r="J402" s="62"/>
      <c r="K402" s="62"/>
      <c r="L402" s="62"/>
      <c r="M402" s="62"/>
      <c r="N402" s="62"/>
    </row>
    <row r="403" spans="2:14" x14ac:dyDescent="0.25">
      <c r="B403" s="62"/>
      <c r="C403" s="159"/>
      <c r="D403" s="62"/>
      <c r="E403" s="62"/>
      <c r="F403" s="62"/>
      <c r="G403" s="62"/>
      <c r="H403" s="62"/>
      <c r="I403" s="112"/>
      <c r="J403" s="62"/>
      <c r="K403" s="62"/>
      <c r="L403" s="62"/>
      <c r="M403" s="62"/>
      <c r="N403" s="62"/>
    </row>
    <row r="404" spans="2:14" x14ac:dyDescent="0.25">
      <c r="B404" s="62"/>
      <c r="C404" s="159"/>
      <c r="D404" s="62"/>
      <c r="E404" s="62"/>
      <c r="F404" s="62"/>
      <c r="G404" s="62"/>
      <c r="H404" s="62"/>
      <c r="I404" s="112"/>
      <c r="J404" s="62"/>
      <c r="K404" s="62"/>
      <c r="L404" s="62"/>
      <c r="M404" s="62"/>
      <c r="N404" s="62"/>
    </row>
    <row r="405" spans="2:14" x14ac:dyDescent="0.25">
      <c r="B405" s="62"/>
      <c r="C405" s="159"/>
      <c r="D405" s="62"/>
      <c r="E405" s="62"/>
      <c r="F405" s="62"/>
      <c r="G405" s="62"/>
      <c r="H405" s="62"/>
      <c r="I405" s="112"/>
      <c r="J405" s="62"/>
      <c r="K405" s="62"/>
      <c r="L405" s="62"/>
      <c r="M405" s="62"/>
      <c r="N405" s="62"/>
    </row>
    <row r="406" spans="2:14" x14ac:dyDescent="0.25">
      <c r="B406" s="62"/>
      <c r="C406" s="159"/>
      <c r="D406" s="62"/>
      <c r="E406" s="62"/>
      <c r="F406" s="62"/>
      <c r="G406" s="62"/>
      <c r="H406" s="62"/>
      <c r="I406" s="112"/>
      <c r="J406" s="62"/>
      <c r="K406" s="62"/>
      <c r="L406" s="62"/>
      <c r="M406" s="62"/>
      <c r="N406" s="62"/>
    </row>
    <row r="407" spans="2:14" x14ac:dyDescent="0.25">
      <c r="B407" s="62"/>
      <c r="C407" s="159"/>
      <c r="D407" s="62"/>
      <c r="E407" s="62"/>
      <c r="F407" s="62"/>
      <c r="G407" s="62"/>
      <c r="H407" s="62"/>
      <c r="I407" s="112"/>
      <c r="J407" s="62"/>
      <c r="K407" s="62"/>
      <c r="L407" s="62"/>
      <c r="M407" s="62"/>
      <c r="N407" s="62"/>
    </row>
    <row r="408" spans="2:14" x14ac:dyDescent="0.25">
      <c r="B408" s="62"/>
      <c r="C408" s="159"/>
      <c r="D408" s="62"/>
      <c r="E408" s="62"/>
      <c r="F408" s="62"/>
      <c r="G408" s="62"/>
      <c r="H408" s="62"/>
      <c r="I408" s="112"/>
      <c r="J408" s="62"/>
      <c r="K408" s="62"/>
      <c r="L408" s="62"/>
      <c r="M408" s="62"/>
      <c r="N408" s="62"/>
    </row>
    <row r="409" spans="2:14" x14ac:dyDescent="0.25">
      <c r="B409" s="62"/>
      <c r="C409" s="159"/>
      <c r="D409" s="62"/>
      <c r="E409" s="62"/>
      <c r="F409" s="62"/>
      <c r="G409" s="62"/>
      <c r="H409" s="62"/>
      <c r="I409" s="112"/>
      <c r="J409" s="62"/>
      <c r="K409" s="62"/>
      <c r="L409" s="62"/>
      <c r="M409" s="62"/>
      <c r="N409" s="62"/>
    </row>
    <row r="410" spans="2:14" x14ac:dyDescent="0.25">
      <c r="B410" s="62"/>
      <c r="C410" s="159"/>
      <c r="D410" s="62"/>
      <c r="E410" s="62"/>
      <c r="F410" s="62"/>
      <c r="G410" s="62"/>
      <c r="H410" s="62"/>
      <c r="I410" s="112"/>
      <c r="J410" s="62"/>
      <c r="K410" s="62"/>
      <c r="L410" s="62"/>
      <c r="M410" s="62"/>
      <c r="N410" s="62"/>
    </row>
    <row r="411" spans="2:14" x14ac:dyDescent="0.25">
      <c r="B411" s="62"/>
      <c r="C411" s="159"/>
      <c r="D411" s="62"/>
      <c r="E411" s="62"/>
      <c r="F411" s="62"/>
      <c r="G411" s="62"/>
      <c r="H411" s="62"/>
      <c r="I411" s="112"/>
      <c r="J411" s="62"/>
      <c r="K411" s="62"/>
      <c r="L411" s="62"/>
      <c r="M411" s="62"/>
      <c r="N411" s="62"/>
    </row>
    <row r="412" spans="9:9" x14ac:dyDescent="0.25">
      <c r="I412" s="123"/>
    </row>
    <row r="413" spans="9:9" x14ac:dyDescent="0.25">
      <c r="I413" s="123"/>
    </row>
    <row r="414" spans="9:9" x14ac:dyDescent="0.25">
      <c r="I414" s="123"/>
    </row>
    <row r="415" spans="9:9" x14ac:dyDescent="0.25">
      <c r="I415" s="123"/>
    </row>
    <row r="416" spans="9:9" x14ac:dyDescent="0.25">
      <c r="I416" s="123"/>
    </row>
    <row r="417" spans="9:9" x14ac:dyDescent="0.25">
      <c r="I417" s="123"/>
    </row>
    <row r="418" spans="9:9" x14ac:dyDescent="0.25">
      <c r="I418" s="123"/>
    </row>
    <row r="419" spans="9:9" x14ac:dyDescent="0.25">
      <c r="I419" s="123"/>
    </row>
    <row r="420" spans="9:9" x14ac:dyDescent="0.25">
      <c r="I420" s="123"/>
    </row>
    <row r="421" spans="9:9" x14ac:dyDescent="0.25">
      <c r="I421" s="123"/>
    </row>
    <row r="422" spans="9:9" x14ac:dyDescent="0.25">
      <c r="I422" s="123"/>
    </row>
    <row r="423" spans="9:9" x14ac:dyDescent="0.25">
      <c r="I423" s="123"/>
    </row>
    <row r="424" spans="9:9" x14ac:dyDescent="0.25">
      <c r="I424" s="123"/>
    </row>
    <row r="425" spans="9:9" x14ac:dyDescent="0.25">
      <c r="I425" s="123"/>
    </row>
    <row r="426" spans="9:9" x14ac:dyDescent="0.25">
      <c r="I426" s="123"/>
    </row>
    <row r="427" spans="9:9" x14ac:dyDescent="0.25">
      <c r="I427" s="123"/>
    </row>
    <row r="428" spans="9:9" x14ac:dyDescent="0.25">
      <c r="I428" s="123"/>
    </row>
    <row r="429" spans="9:9" x14ac:dyDescent="0.25">
      <c r="I429" s="123"/>
    </row>
    <row r="430" spans="9:9" x14ac:dyDescent="0.25">
      <c r="I430" s="123"/>
    </row>
    <row r="431" spans="9:9" x14ac:dyDescent="0.25">
      <c r="I431" s="123"/>
    </row>
    <row r="432" spans="9:9" x14ac:dyDescent="0.25">
      <c r="I432" s="123"/>
    </row>
    <row r="433" spans="9:9" x14ac:dyDescent="0.25">
      <c r="I433" s="123"/>
    </row>
    <row r="434" spans="9:9" x14ac:dyDescent="0.25">
      <c r="I434" s="123"/>
    </row>
    <row r="435" spans="9:9" x14ac:dyDescent="0.25">
      <c r="I435" s="123"/>
    </row>
    <row r="436" spans="9:9" x14ac:dyDescent="0.25">
      <c r="I436" s="123"/>
    </row>
    <row r="437" spans="9:9" x14ac:dyDescent="0.25">
      <c r="I437" s="123"/>
    </row>
    <row r="438" spans="9:9" x14ac:dyDescent="0.25">
      <c r="I438" s="123"/>
    </row>
    <row r="439" spans="9:9" x14ac:dyDescent="0.25">
      <c r="I439" s="123"/>
    </row>
    <row r="440" spans="9:9" x14ac:dyDescent="0.25">
      <c r="I440" s="123"/>
    </row>
    <row r="441" spans="9:9" x14ac:dyDescent="0.25">
      <c r="I441" s="123"/>
    </row>
    <row r="442" spans="9:9" x14ac:dyDescent="0.25">
      <c r="I442" s="123"/>
    </row>
    <row r="443" spans="9:9" x14ac:dyDescent="0.25">
      <c r="I443" s="123"/>
    </row>
    <row r="444" spans="9:9" x14ac:dyDescent="0.25">
      <c r="I444" s="123"/>
    </row>
    <row r="445" spans="9:9" x14ac:dyDescent="0.25">
      <c r="I445" s="123"/>
    </row>
    <row r="446" spans="9:9" x14ac:dyDescent="0.25">
      <c r="I446" s="123"/>
    </row>
    <row r="447" spans="9:9" x14ac:dyDescent="0.25">
      <c r="I447" s="123"/>
    </row>
    <row r="448" spans="9:9" x14ac:dyDescent="0.25">
      <c r="I448" s="123"/>
    </row>
    <row r="449" spans="9:9" x14ac:dyDescent="0.25">
      <c r="I449" s="123"/>
    </row>
    <row r="450" spans="9:9" x14ac:dyDescent="0.25">
      <c r="I450" s="123"/>
    </row>
    <row r="451" spans="9:9" x14ac:dyDescent="0.25">
      <c r="I451" s="123"/>
    </row>
    <row r="452" spans="9:9" x14ac:dyDescent="0.25">
      <c r="I452" s="123"/>
    </row>
    <row r="453" spans="9:9" x14ac:dyDescent="0.25">
      <c r="I453" s="123"/>
    </row>
    <row r="454" spans="9:9" x14ac:dyDescent="0.25">
      <c r="I454" s="123"/>
    </row>
    <row r="455" spans="9:9" x14ac:dyDescent="0.25">
      <c r="I455" s="123"/>
    </row>
    <row r="456" spans="9:9" x14ac:dyDescent="0.25">
      <c r="I456" s="123"/>
    </row>
    <row r="457" spans="9:9" x14ac:dyDescent="0.25">
      <c r="I457" s="123"/>
    </row>
    <row r="458" spans="9:9" x14ac:dyDescent="0.25">
      <c r="I458" s="123"/>
    </row>
    <row r="459" spans="9:9" x14ac:dyDescent="0.25">
      <c r="I459" s="123"/>
    </row>
    <row r="460" spans="9:9" x14ac:dyDescent="0.25">
      <c r="I460" s="123"/>
    </row>
    <row r="461" spans="9:9" x14ac:dyDescent="0.25">
      <c r="I461" s="123"/>
    </row>
    <row r="462" spans="9:9" x14ac:dyDescent="0.25">
      <c r="I462" s="123"/>
    </row>
    <row r="463" spans="9:9" x14ac:dyDescent="0.25">
      <c r="I463" s="123"/>
    </row>
    <row r="464" spans="9:9" x14ac:dyDescent="0.25">
      <c r="I464" s="123"/>
    </row>
    <row r="465" spans="9:9" x14ac:dyDescent="0.25">
      <c r="I465" s="123"/>
    </row>
    <row r="466" spans="1:12" x14ac:dyDescent="0.25">
      <c r="A466" t="s">
        <v>257</v>
      </c>
      <c r="B466" t="s">
        <v>82</v>
      </c>
      <c r="C466" s="138" t="s">
        <v>83</v>
      </c>
      <c r="D466" t="s">
        <v>74</v>
      </c>
      <c r="E466" t="s">
        <v>359</v>
      </c>
      <c r="F466">
        <v>0</v>
      </c>
      <c r="G466">
        <v>1175</v>
      </c>
      <c r="H466">
        <v>566.67</v>
      </c>
      <c r="I466" s="90">
        <v>1741.67</v>
      </c>
      <c r="J466" s="90" t="s">
        <v>257</v>
      </c>
      <c r="K466" s="90" t="s">
        <v>451</v>
      </c>
      <c r="L466" t="s">
        <v>257</v>
      </c>
    </row>
    <row r="467" spans="1:12" x14ac:dyDescent="0.25">
      <c r="A467" t="s">
        <v>257</v>
      </c>
      <c r="B467" t="s">
        <v>364</v>
      </c>
      <c r="C467" s="138" t="s">
        <v>89</v>
      </c>
      <c r="D467" t="s">
        <v>90</v>
      </c>
      <c r="E467" t="s">
        <v>365</v>
      </c>
      <c r="F467">
        <v>0</v>
      </c>
      <c r="G467">
        <v>2500</v>
      </c>
      <c r="H467">
        <v>1030.94</v>
      </c>
      <c r="I467" s="90">
        <v>3530.94</v>
      </c>
      <c r="J467" s="90" t="s">
        <v>257</v>
      </c>
      <c r="K467" s="90" t="s">
        <v>451</v>
      </c>
      <c r="L467" t="s">
        <v>257</v>
      </c>
    </row>
    <row r="468" spans="1:12" x14ac:dyDescent="0.25">
      <c r="A468" t="s">
        <v>257</v>
      </c>
      <c r="B468" t="s">
        <v>452</v>
      </c>
      <c r="C468" s="138" t="s">
        <v>449</v>
      </c>
      <c r="D468" t="s">
        <v>450</v>
      </c>
      <c r="E468" t="s">
        <v>257</v>
      </c>
      <c r="F468">
        <v>0</v>
      </c>
      <c r="G468">
        <v>7000</v>
      </c>
      <c r="H468">
        <v>406.8</v>
      </c>
      <c r="I468" s="90">
        <v>7406.8</v>
      </c>
      <c r="J468" s="90" t="s">
        <v>257</v>
      </c>
      <c r="K468" s="90" t="s">
        <v>451</v>
      </c>
      <c r="L468" t="s">
        <v>129</v>
      </c>
    </row>
    <row r="469" spans="1:12" x14ac:dyDescent="0.25">
      <c r="A469" t="s">
        <v>257</v>
      </c>
      <c r="B469" t="s">
        <v>334</v>
      </c>
      <c r="C469" s="138" t="s">
        <v>335</v>
      </c>
      <c r="D469" t="s">
        <v>336</v>
      </c>
      <c r="E469" t="s">
        <v>257</v>
      </c>
      <c r="F469">
        <v>0</v>
      </c>
      <c r="G469">
        <v>6900</v>
      </c>
      <c r="H469">
        <v>748.77</v>
      </c>
      <c r="I469" s="90">
        <v>7648.77</v>
      </c>
      <c r="J469" s="90" t="s">
        <v>257</v>
      </c>
      <c r="K469" s="90" t="s">
        <v>451</v>
      </c>
      <c r="L469" t="s">
        <v>129</v>
      </c>
    </row>
    <row r="470" spans="1:12" x14ac:dyDescent="0.25">
      <c r="A470" t="s">
        <v>257</v>
      </c>
      <c r="B470" t="s">
        <v>453</v>
      </c>
      <c r="C470" s="138" t="s">
        <v>447</v>
      </c>
      <c r="D470" t="s">
        <v>448</v>
      </c>
      <c r="E470" t="s">
        <v>257</v>
      </c>
      <c r="F470">
        <v>0</v>
      </c>
      <c r="G470">
        <v>4900</v>
      </c>
      <c r="H470">
        <v>432.8</v>
      </c>
      <c r="I470" s="90">
        <v>5332.8</v>
      </c>
      <c r="J470" s="90" t="s">
        <v>257</v>
      </c>
      <c r="K470" s="90" t="s">
        <v>451</v>
      </c>
      <c r="L470" t="s">
        <v>107</v>
      </c>
    </row>
    <row r="471" spans="1:12" x14ac:dyDescent="0.25">
      <c r="A471" t="s">
        <v>257</v>
      </c>
      <c r="B471" t="s">
        <v>454</v>
      </c>
      <c r="C471" s="138" t="s">
        <v>441</v>
      </c>
      <c r="D471" t="s">
        <v>442</v>
      </c>
      <c r="E471" t="s">
        <v>257</v>
      </c>
      <c r="F471">
        <v>0</v>
      </c>
      <c r="G471">
        <v>7000</v>
      </c>
      <c r="H471">
        <v>632.6</v>
      </c>
      <c r="I471" s="90">
        <v>7632.6</v>
      </c>
      <c r="J471" s="90" t="s">
        <v>257</v>
      </c>
      <c r="K471" s="90" t="s">
        <v>451</v>
      </c>
      <c r="L471" t="s">
        <v>125</v>
      </c>
    </row>
    <row r="472" spans="1:12" x14ac:dyDescent="0.25">
      <c r="A472" t="s">
        <v>257</v>
      </c>
      <c r="B472" t="s">
        <v>454</v>
      </c>
      <c r="C472" s="138" t="s">
        <v>444</v>
      </c>
      <c r="D472" t="s">
        <v>445</v>
      </c>
      <c r="E472" t="s">
        <v>257</v>
      </c>
      <c r="F472">
        <v>0</v>
      </c>
      <c r="G472">
        <v>6000</v>
      </c>
      <c r="H472">
        <v>861.48</v>
      </c>
      <c r="I472" s="90">
        <v>6861.48</v>
      </c>
      <c r="J472" s="90" t="s">
        <v>257</v>
      </c>
      <c r="K472" s="90" t="s">
        <v>451</v>
      </c>
      <c r="L472" t="s">
        <v>113</v>
      </c>
    </row>
    <row r="473" spans="1:12" x14ac:dyDescent="0.25">
      <c r="A473" t="s">
        <v>257</v>
      </c>
      <c r="B473" t="s">
        <v>455</v>
      </c>
      <c r="C473" s="138" t="s">
        <v>435</v>
      </c>
      <c r="D473" t="s">
        <v>436</v>
      </c>
      <c r="E473" t="s">
        <v>257</v>
      </c>
      <c r="F473">
        <v>0</v>
      </c>
      <c r="G473">
        <v>6500</v>
      </c>
      <c r="H473">
        <v>981.425</v>
      </c>
      <c r="I473" s="90">
        <v>7481.425</v>
      </c>
      <c r="J473" s="90" t="s">
        <v>257</v>
      </c>
      <c r="K473" s="90" t="s">
        <v>451</v>
      </c>
      <c r="L473" t="s">
        <v>107</v>
      </c>
    </row>
    <row r="474" spans="1:12" x14ac:dyDescent="0.25">
      <c r="A474" t="s">
        <v>257</v>
      </c>
      <c r="B474" t="s">
        <v>455</v>
      </c>
      <c r="C474" s="138" t="s">
        <v>438</v>
      </c>
      <c r="D474" t="s">
        <v>439</v>
      </c>
      <c r="E474" t="s">
        <v>257</v>
      </c>
      <c r="F474">
        <v>0</v>
      </c>
      <c r="G474">
        <v>5950</v>
      </c>
      <c r="H474">
        <v>770.0949999999999</v>
      </c>
      <c r="I474" s="90">
        <v>6720.095</v>
      </c>
      <c r="J474" s="90" t="s">
        <v>257</v>
      </c>
      <c r="K474" s="90" t="s">
        <v>451</v>
      </c>
      <c r="L474" t="s">
        <v>107</v>
      </c>
    </row>
    <row r="475" spans="1:12" x14ac:dyDescent="0.25">
      <c r="A475" t="s">
        <v>257</v>
      </c>
      <c r="B475" t="s">
        <v>456</v>
      </c>
      <c r="C475" s="138" t="s">
        <v>417</v>
      </c>
      <c r="D475" t="s">
        <v>418</v>
      </c>
      <c r="E475" t="s">
        <v>257</v>
      </c>
      <c r="F475">
        <v>0</v>
      </c>
      <c r="G475">
        <v>5400</v>
      </c>
      <c r="H475">
        <v>1054.8</v>
      </c>
      <c r="I475" s="90">
        <v>6454.8</v>
      </c>
      <c r="J475" s="90" t="s">
        <v>257</v>
      </c>
      <c r="K475" s="90" t="s">
        <v>451</v>
      </c>
      <c r="L475" t="s">
        <v>107</v>
      </c>
    </row>
    <row r="476" spans="1:12" x14ac:dyDescent="0.25">
      <c r="A476" t="s">
        <v>257</v>
      </c>
      <c r="B476" t="s">
        <v>456</v>
      </c>
      <c r="C476" s="138" t="s">
        <v>419</v>
      </c>
      <c r="D476" t="s">
        <v>420</v>
      </c>
      <c r="E476" t="s">
        <v>257</v>
      </c>
      <c r="F476">
        <v>0</v>
      </c>
      <c r="G476">
        <v>5700</v>
      </c>
      <c r="H476">
        <v>494.8</v>
      </c>
      <c r="I476" s="90">
        <v>6194.8</v>
      </c>
      <c r="J476" s="90" t="s">
        <v>257</v>
      </c>
      <c r="K476" s="90" t="s">
        <v>451</v>
      </c>
      <c r="L476" t="s">
        <v>107</v>
      </c>
    </row>
    <row r="477" spans="1:12" x14ac:dyDescent="0.25">
      <c r="A477" t="s">
        <v>257</v>
      </c>
      <c r="B477" t="s">
        <v>456</v>
      </c>
      <c r="C477" s="138" t="s">
        <v>417</v>
      </c>
      <c r="D477" t="s">
        <v>418</v>
      </c>
      <c r="E477" t="s">
        <v>257</v>
      </c>
      <c r="F477">
        <v>0</v>
      </c>
      <c r="G477">
        <v>5400</v>
      </c>
      <c r="H477">
        <v>1054.8</v>
      </c>
      <c r="I477" s="90">
        <v>6454.8</v>
      </c>
      <c r="J477" s="90" t="s">
        <v>257</v>
      </c>
      <c r="K477" s="90" t="s">
        <v>451</v>
      </c>
      <c r="L477" t="s">
        <v>107</v>
      </c>
    </row>
    <row r="478" spans="1:12" x14ac:dyDescent="0.25">
      <c r="A478" t="s">
        <v>257</v>
      </c>
      <c r="B478" t="s">
        <v>456</v>
      </c>
      <c r="C478" s="138" t="s">
        <v>419</v>
      </c>
      <c r="D478" t="s">
        <v>420</v>
      </c>
      <c r="E478" t="s">
        <v>257</v>
      </c>
      <c r="F478">
        <v>0</v>
      </c>
      <c r="G478">
        <v>5700</v>
      </c>
      <c r="H478">
        <v>494.8</v>
      </c>
      <c r="I478" s="90">
        <v>6194.8</v>
      </c>
      <c r="J478" s="90" t="s">
        <v>257</v>
      </c>
      <c r="K478" s="90" t="s">
        <v>451</v>
      </c>
      <c r="L478" t="s">
        <v>107</v>
      </c>
    </row>
    <row r="479" spans="1:12" x14ac:dyDescent="0.25">
      <c r="A479" t="s">
        <v>257</v>
      </c>
      <c r="B479" t="s">
        <v>457</v>
      </c>
      <c r="C479" s="138" t="s">
        <v>414</v>
      </c>
      <c r="D479" t="s">
        <v>415</v>
      </c>
      <c r="E479" t="s">
        <v>257</v>
      </c>
      <c r="F479">
        <v>0</v>
      </c>
      <c r="G479">
        <v>7964</v>
      </c>
      <c r="H479">
        <v>1222.0299999999997</v>
      </c>
      <c r="I479" s="90">
        <v>9186.029999999999</v>
      </c>
      <c r="J479" s="90" t="s">
        <v>257</v>
      </c>
      <c r="K479" s="90" t="s">
        <v>451</v>
      </c>
      <c r="L479" t="s">
        <v>129</v>
      </c>
    </row>
    <row r="480" spans="1:12" x14ac:dyDescent="0.25">
      <c r="A480" t="s">
        <v>257</v>
      </c>
      <c r="B480" t="s">
        <v>457</v>
      </c>
      <c r="C480" s="138" t="s">
        <v>414</v>
      </c>
      <c r="D480" t="s">
        <v>415</v>
      </c>
      <c r="E480" t="s">
        <v>257</v>
      </c>
      <c r="F480">
        <v>0</v>
      </c>
      <c r="G480">
        <v>7964</v>
      </c>
      <c r="H480">
        <v>1222.0299999999997</v>
      </c>
      <c r="I480" s="90">
        <v>9186.029999999999</v>
      </c>
      <c r="J480" s="90" t="s">
        <v>257</v>
      </c>
      <c r="K480" s="90" t="s">
        <v>451</v>
      </c>
      <c r="L480" t="s">
        <v>129</v>
      </c>
    </row>
    <row r="481" spans="1:12" x14ac:dyDescent="0.25">
      <c r="A481" t="s">
        <v>257</v>
      </c>
      <c r="B481" t="s">
        <v>457</v>
      </c>
      <c r="C481" s="138" t="s">
        <v>431</v>
      </c>
      <c r="D481" t="s">
        <v>432</v>
      </c>
      <c r="E481" t="s">
        <v>257</v>
      </c>
      <c r="F481">
        <v>0</v>
      </c>
      <c r="G481">
        <v>8231.69</v>
      </c>
      <c r="H481">
        <v>100.62</v>
      </c>
      <c r="I481" s="90">
        <v>8332.310000000001</v>
      </c>
      <c r="J481" s="90" t="s">
        <v>257</v>
      </c>
      <c r="K481" s="90" t="s">
        <v>451</v>
      </c>
      <c r="L481" t="s">
        <v>107</v>
      </c>
    </row>
    <row r="482" spans="1:12" x14ac:dyDescent="0.25">
      <c r="A482" t="s">
        <v>257</v>
      </c>
      <c r="B482" t="s">
        <v>458</v>
      </c>
      <c r="C482" s="138" t="s">
        <v>412</v>
      </c>
      <c r="D482" t="s">
        <v>413</v>
      </c>
      <c r="E482" t="s">
        <v>257</v>
      </c>
      <c r="F482">
        <v>0</v>
      </c>
      <c r="G482">
        <v>5950</v>
      </c>
      <c r="H482">
        <v>459.99</v>
      </c>
      <c r="I482" s="90">
        <v>6409.99</v>
      </c>
      <c r="J482" s="90" t="s">
        <v>257</v>
      </c>
      <c r="K482" s="90" t="s">
        <v>451</v>
      </c>
      <c r="L482" t="s">
        <v>392</v>
      </c>
    </row>
    <row r="483" spans="1:12" x14ac:dyDescent="0.25">
      <c r="A483" t="s">
        <v>257</v>
      </c>
      <c r="B483" t="s">
        <v>458</v>
      </c>
      <c r="C483" s="138" t="s">
        <v>412</v>
      </c>
      <c r="D483" t="s">
        <v>413</v>
      </c>
      <c r="E483" t="s">
        <v>257</v>
      </c>
      <c r="F483">
        <v>0</v>
      </c>
      <c r="G483">
        <v>5950</v>
      </c>
      <c r="H483">
        <v>459.99</v>
      </c>
      <c r="I483" s="90">
        <v>6409.99</v>
      </c>
      <c r="J483" s="90" t="s">
        <v>257</v>
      </c>
      <c r="K483" s="90" t="s">
        <v>451</v>
      </c>
      <c r="L483" t="s">
        <v>392</v>
      </c>
    </row>
    <row r="484" spans="1:12" x14ac:dyDescent="0.25">
      <c r="A484" t="s">
        <v>257</v>
      </c>
      <c r="B484" t="s">
        <v>319</v>
      </c>
      <c r="C484" s="138" t="s">
        <v>230</v>
      </c>
      <c r="D484" t="s">
        <v>231</v>
      </c>
      <c r="E484" t="s">
        <v>257</v>
      </c>
      <c r="F484">
        <v>0</v>
      </c>
      <c r="G484">
        <v>7725</v>
      </c>
      <c r="H484">
        <v>521.7</v>
      </c>
      <c r="I484" s="90">
        <v>8246.7</v>
      </c>
      <c r="J484" s="90" t="s">
        <v>257</v>
      </c>
      <c r="K484" s="90" t="s">
        <v>451</v>
      </c>
      <c r="L484" t="s">
        <v>129</v>
      </c>
    </row>
    <row r="485" spans="1:12" x14ac:dyDescent="0.25">
      <c r="A485" t="s">
        <v>257</v>
      </c>
      <c r="B485" t="s">
        <v>319</v>
      </c>
      <c r="C485" s="138" t="s">
        <v>247</v>
      </c>
      <c r="D485" t="s">
        <v>248</v>
      </c>
      <c r="E485" t="s">
        <v>257</v>
      </c>
      <c r="F485">
        <v>0</v>
      </c>
      <c r="G485">
        <v>8000</v>
      </c>
      <c r="H485">
        <v>558.78</v>
      </c>
      <c r="I485" s="90">
        <v>8558.78</v>
      </c>
      <c r="J485" s="90" t="s">
        <v>257</v>
      </c>
      <c r="K485" s="90" t="s">
        <v>451</v>
      </c>
      <c r="L485" t="s">
        <v>110</v>
      </c>
    </row>
    <row r="486" spans="1:12" x14ac:dyDescent="0.25">
      <c r="A486" t="s">
        <v>257</v>
      </c>
      <c r="B486" t="s">
        <v>319</v>
      </c>
      <c r="C486" s="138" t="s">
        <v>247</v>
      </c>
      <c r="D486" t="s">
        <v>248</v>
      </c>
      <c r="E486" t="s">
        <v>257</v>
      </c>
      <c r="F486">
        <v>0</v>
      </c>
      <c r="G486">
        <v>8000</v>
      </c>
      <c r="H486">
        <v>558.78</v>
      </c>
      <c r="I486" s="90">
        <v>8558.78</v>
      </c>
      <c r="J486" s="90" t="s">
        <v>257</v>
      </c>
      <c r="K486" s="90" t="s">
        <v>451</v>
      </c>
      <c r="L486" t="s">
        <v>110</v>
      </c>
    </row>
    <row r="487" spans="1:12" x14ac:dyDescent="0.25">
      <c r="A487" t="s">
        <v>257</v>
      </c>
      <c r="B487" t="s">
        <v>316</v>
      </c>
      <c r="C487" s="138" t="s">
        <v>251</v>
      </c>
      <c r="D487" t="s">
        <v>252</v>
      </c>
      <c r="E487" t="s">
        <v>377</v>
      </c>
      <c r="F487">
        <v>0</v>
      </c>
      <c r="G487">
        <v>7300</v>
      </c>
      <c r="H487">
        <v>644.275</v>
      </c>
      <c r="I487" s="90">
        <v>7944.275</v>
      </c>
      <c r="J487" s="90" t="s">
        <v>257</v>
      </c>
      <c r="K487" s="90" t="s">
        <v>451</v>
      </c>
      <c r="L487" t="s">
        <v>113</v>
      </c>
    </row>
    <row r="488" spans="1:12" x14ac:dyDescent="0.25">
      <c r="A488" t="s">
        <v>257</v>
      </c>
      <c r="B488" t="s">
        <v>316</v>
      </c>
      <c r="C488" s="138" t="s">
        <v>410</v>
      </c>
      <c r="D488" t="s">
        <v>411</v>
      </c>
      <c r="E488" t="s">
        <v>257</v>
      </c>
      <c r="F488">
        <v>0</v>
      </c>
      <c r="G488">
        <v>5850</v>
      </c>
      <c r="H488">
        <v>851.75</v>
      </c>
      <c r="I488" s="90">
        <v>6701.75</v>
      </c>
      <c r="J488" s="90" t="s">
        <v>257</v>
      </c>
      <c r="K488" s="90" t="s">
        <v>451</v>
      </c>
      <c r="L488" t="s">
        <v>110</v>
      </c>
    </row>
    <row r="489" spans="1:12" x14ac:dyDescent="0.25">
      <c r="A489" t="s">
        <v>257</v>
      </c>
      <c r="B489" t="s">
        <v>316</v>
      </c>
      <c r="C489" s="138" t="s">
        <v>251</v>
      </c>
      <c r="D489" t="s">
        <v>252</v>
      </c>
      <c r="E489" t="s">
        <v>377</v>
      </c>
      <c r="F489">
        <v>0</v>
      </c>
      <c r="G489">
        <v>7300</v>
      </c>
      <c r="H489">
        <v>644.275</v>
      </c>
      <c r="I489" s="90">
        <v>7944.275</v>
      </c>
      <c r="J489" s="90" t="s">
        <v>257</v>
      </c>
      <c r="K489" s="90" t="s">
        <v>451</v>
      </c>
      <c r="L489" t="s">
        <v>113</v>
      </c>
    </row>
    <row r="490" spans="1:12" x14ac:dyDescent="0.25">
      <c r="A490" t="s">
        <v>257</v>
      </c>
      <c r="B490" t="s">
        <v>316</v>
      </c>
      <c r="C490" s="138" t="s">
        <v>410</v>
      </c>
      <c r="D490" t="s">
        <v>411</v>
      </c>
      <c r="E490" t="s">
        <v>257</v>
      </c>
      <c r="F490">
        <v>0</v>
      </c>
      <c r="G490">
        <v>5850</v>
      </c>
      <c r="H490">
        <v>851.75</v>
      </c>
      <c r="I490" s="90">
        <v>6701.75</v>
      </c>
      <c r="J490" s="90" t="s">
        <v>257</v>
      </c>
      <c r="K490" s="90" t="s">
        <v>451</v>
      </c>
      <c r="L490" t="s">
        <v>110</v>
      </c>
    </row>
    <row r="491" spans="1:12" x14ac:dyDescent="0.25">
      <c r="A491" t="s">
        <v>257</v>
      </c>
      <c r="B491" t="s">
        <v>459</v>
      </c>
      <c r="C491" s="138" t="s">
        <v>409</v>
      </c>
      <c r="D491" t="s">
        <v>134</v>
      </c>
      <c r="E491" t="s">
        <v>365</v>
      </c>
      <c r="F491">
        <v>0</v>
      </c>
      <c r="G491">
        <v>4800</v>
      </c>
      <c r="H491">
        <v>295.15999999999997</v>
      </c>
      <c r="I491" s="90">
        <v>5095.16</v>
      </c>
      <c r="J491" s="90" t="s">
        <v>257</v>
      </c>
      <c r="K491" s="90" t="s">
        <v>451</v>
      </c>
      <c r="L491" t="s">
        <v>125</v>
      </c>
    </row>
    <row r="492" spans="1:12" x14ac:dyDescent="0.25">
      <c r="A492" t="s">
        <v>257</v>
      </c>
      <c r="B492" t="s">
        <v>459</v>
      </c>
      <c r="C492" s="138" t="s">
        <v>409</v>
      </c>
      <c r="D492" t="s">
        <v>134</v>
      </c>
      <c r="E492" t="s">
        <v>365</v>
      </c>
      <c r="F492">
        <v>0</v>
      </c>
      <c r="G492">
        <v>4800</v>
      </c>
      <c r="H492">
        <v>295.15999999999997</v>
      </c>
      <c r="I492" s="90">
        <v>5095.16</v>
      </c>
      <c r="J492" s="90" t="s">
        <v>257</v>
      </c>
      <c r="K492" s="90" t="s">
        <v>451</v>
      </c>
      <c r="L492" t="s">
        <v>125</v>
      </c>
    </row>
    <row r="493" spans="1:12" x14ac:dyDescent="0.25">
      <c r="A493" t="s">
        <v>257</v>
      </c>
      <c r="B493" t="s">
        <v>460</v>
      </c>
      <c r="C493" s="138" t="s">
        <v>408</v>
      </c>
      <c r="D493" t="s">
        <v>233</v>
      </c>
      <c r="E493" t="s">
        <v>257</v>
      </c>
      <c r="F493">
        <v>0</v>
      </c>
      <c r="G493">
        <v>5300</v>
      </c>
      <c r="H493">
        <v>702.8</v>
      </c>
      <c r="I493" s="90">
        <v>6002.8</v>
      </c>
      <c r="J493" s="90" t="s">
        <v>257</v>
      </c>
      <c r="K493" s="90" t="s">
        <v>451</v>
      </c>
      <c r="L493" t="s">
        <v>392</v>
      </c>
    </row>
    <row r="494" spans="1:12" x14ac:dyDescent="0.25">
      <c r="A494" t="s">
        <v>257</v>
      </c>
      <c r="B494" t="s">
        <v>460</v>
      </c>
      <c r="C494" s="138" t="s">
        <v>408</v>
      </c>
      <c r="D494" t="s">
        <v>233</v>
      </c>
      <c r="E494" t="s">
        <v>257</v>
      </c>
      <c r="F494">
        <v>0</v>
      </c>
      <c r="G494">
        <v>5300</v>
      </c>
      <c r="H494">
        <v>702.8</v>
      </c>
      <c r="I494" s="90">
        <v>6002.8</v>
      </c>
      <c r="J494" s="90" t="s">
        <v>257</v>
      </c>
      <c r="K494" s="90" t="s">
        <v>451</v>
      </c>
      <c r="L494" t="s">
        <v>392</v>
      </c>
    </row>
    <row r="495" spans="1:12" x14ac:dyDescent="0.25">
      <c r="A495" t="s">
        <v>257</v>
      </c>
      <c r="B495" t="s">
        <v>461</v>
      </c>
      <c r="C495" s="138" t="s">
        <v>407</v>
      </c>
      <c r="D495" t="s">
        <v>233</v>
      </c>
      <c r="E495" t="s">
        <v>257</v>
      </c>
      <c r="F495">
        <v>0</v>
      </c>
      <c r="G495">
        <v>7100</v>
      </c>
      <c r="H495">
        <v>852.26</v>
      </c>
      <c r="I495" s="90">
        <v>7952.26</v>
      </c>
      <c r="J495" s="90" t="s">
        <v>257</v>
      </c>
      <c r="K495" s="90" t="s">
        <v>451</v>
      </c>
      <c r="L495" t="s">
        <v>107</v>
      </c>
    </row>
    <row r="496" spans="1:12" x14ac:dyDescent="0.25">
      <c r="A496" t="s">
        <v>257</v>
      </c>
      <c r="B496" t="s">
        <v>461</v>
      </c>
      <c r="C496" s="138" t="s">
        <v>407</v>
      </c>
      <c r="D496" t="s">
        <v>233</v>
      </c>
      <c r="E496" t="s">
        <v>257</v>
      </c>
      <c r="F496">
        <v>0</v>
      </c>
      <c r="G496">
        <v>7100</v>
      </c>
      <c r="H496">
        <v>852.26</v>
      </c>
      <c r="I496" s="90">
        <v>7952.26</v>
      </c>
      <c r="J496" s="90" t="s">
        <v>257</v>
      </c>
      <c r="K496" s="90" t="s">
        <v>451</v>
      </c>
      <c r="L496" t="s">
        <v>107</v>
      </c>
    </row>
    <row r="497" spans="1:12" x14ac:dyDescent="0.25">
      <c r="A497" t="s">
        <v>257</v>
      </c>
      <c r="B497" t="s">
        <v>305</v>
      </c>
      <c r="C497" s="138" t="s">
        <v>232</v>
      </c>
      <c r="D497" t="s">
        <v>233</v>
      </c>
      <c r="E497" t="s">
        <v>257</v>
      </c>
      <c r="F497">
        <v>5500</v>
      </c>
      <c r="G497">
        <v>3093.24</v>
      </c>
      <c r="H497">
        <v>292.28999999999996</v>
      </c>
      <c r="I497" s="90">
        <v>3385.5299999999997</v>
      </c>
      <c r="J497" s="90" t="s">
        <v>257</v>
      </c>
      <c r="K497" s="90" t="s">
        <v>451</v>
      </c>
      <c r="L497" t="s">
        <v>107</v>
      </c>
    </row>
    <row r="498" spans="1:12" x14ac:dyDescent="0.25">
      <c r="A498" t="s">
        <v>257</v>
      </c>
      <c r="B498" t="s">
        <v>462</v>
      </c>
      <c r="C498" s="138" t="s">
        <v>403</v>
      </c>
      <c r="D498" t="s">
        <v>404</v>
      </c>
      <c r="E498" t="s">
        <v>257</v>
      </c>
      <c r="F498">
        <v>0</v>
      </c>
      <c r="G498">
        <v>6425</v>
      </c>
      <c r="H498">
        <v>664.8</v>
      </c>
      <c r="I498" s="90">
        <v>7089.8</v>
      </c>
      <c r="J498" s="90" t="s">
        <v>257</v>
      </c>
      <c r="K498" s="90" t="s">
        <v>451</v>
      </c>
      <c r="L498" t="s">
        <v>113</v>
      </c>
    </row>
    <row r="499" spans="1:12" x14ac:dyDescent="0.25">
      <c r="A499" t="s">
        <v>257</v>
      </c>
      <c r="B499" t="s">
        <v>462</v>
      </c>
      <c r="C499" s="138" t="s">
        <v>403</v>
      </c>
      <c r="D499" t="s">
        <v>404</v>
      </c>
      <c r="E499" t="s">
        <v>257</v>
      </c>
      <c r="F499">
        <v>0</v>
      </c>
      <c r="G499">
        <v>6425</v>
      </c>
      <c r="H499">
        <v>664.8</v>
      </c>
      <c r="I499" s="90">
        <v>7089.8</v>
      </c>
      <c r="J499" s="90" t="s">
        <v>257</v>
      </c>
      <c r="K499" s="90" t="s">
        <v>451</v>
      </c>
      <c r="L499" t="s">
        <v>113</v>
      </c>
    </row>
    <row r="500" spans="1:12" x14ac:dyDescent="0.25">
      <c r="A500" t="s">
        <v>257</v>
      </c>
      <c r="B500" t="s">
        <v>462</v>
      </c>
      <c r="C500" s="138" t="s">
        <v>405</v>
      </c>
      <c r="D500" t="s">
        <v>406</v>
      </c>
      <c r="E500" t="s">
        <v>257</v>
      </c>
      <c r="F500">
        <v>0</v>
      </c>
      <c r="G500">
        <v>6000</v>
      </c>
      <c r="H500">
        <v>605.9</v>
      </c>
      <c r="I500" s="90">
        <v>6605.9</v>
      </c>
      <c r="J500" s="90" t="s">
        <v>257</v>
      </c>
      <c r="K500" s="90" t="s">
        <v>451</v>
      </c>
      <c r="L500" t="s">
        <v>113</v>
      </c>
    </row>
    <row r="501" spans="1:12" x14ac:dyDescent="0.25">
      <c r="A501" t="s">
        <v>257</v>
      </c>
      <c r="B501" t="s">
        <v>462</v>
      </c>
      <c r="C501" s="138" t="s">
        <v>403</v>
      </c>
      <c r="D501" t="s">
        <v>404</v>
      </c>
      <c r="E501" t="s">
        <v>257</v>
      </c>
      <c r="F501">
        <v>0</v>
      </c>
      <c r="G501">
        <v>6425</v>
      </c>
      <c r="H501">
        <v>664.8</v>
      </c>
      <c r="I501" s="90">
        <v>7089.8</v>
      </c>
      <c r="J501" s="90" t="s">
        <v>257</v>
      </c>
      <c r="K501" s="90" t="s">
        <v>451</v>
      </c>
      <c r="L501" t="s">
        <v>113</v>
      </c>
    </row>
    <row r="502" spans="1:12" x14ac:dyDescent="0.25">
      <c r="A502" t="s">
        <v>257</v>
      </c>
      <c r="B502" t="s">
        <v>462</v>
      </c>
      <c r="C502" s="138" t="s">
        <v>405</v>
      </c>
      <c r="D502" t="s">
        <v>406</v>
      </c>
      <c r="E502" t="s">
        <v>257</v>
      </c>
      <c r="F502">
        <v>0</v>
      </c>
      <c r="G502">
        <v>6000</v>
      </c>
      <c r="H502">
        <v>605.9</v>
      </c>
      <c r="I502" s="90">
        <v>6605.9</v>
      </c>
      <c r="J502" s="90" t="s">
        <v>257</v>
      </c>
      <c r="K502" s="90" t="s">
        <v>451</v>
      </c>
      <c r="L502" t="s">
        <v>113</v>
      </c>
    </row>
    <row r="503" spans="1:12" x14ac:dyDescent="0.25">
      <c r="A503" t="s">
        <v>257</v>
      </c>
      <c r="B503" t="s">
        <v>308</v>
      </c>
      <c r="C503" s="138" t="s">
        <v>241</v>
      </c>
      <c r="D503" t="s">
        <v>242</v>
      </c>
      <c r="E503" t="s">
        <v>257</v>
      </c>
      <c r="F503">
        <v>0</v>
      </c>
      <c r="G503">
        <v>7000</v>
      </c>
      <c r="H503">
        <v>491.5</v>
      </c>
      <c r="I503" s="90">
        <v>7491.5</v>
      </c>
      <c r="J503" s="90" t="s">
        <v>257</v>
      </c>
      <c r="K503" s="90" t="s">
        <v>451</v>
      </c>
      <c r="L503" t="s">
        <v>110</v>
      </c>
    </row>
    <row r="504" spans="1:12" x14ac:dyDescent="0.25">
      <c r="A504" t="s">
        <v>257</v>
      </c>
      <c r="B504" t="s">
        <v>308</v>
      </c>
      <c r="C504" s="138" t="s">
        <v>223</v>
      </c>
      <c r="D504" t="s">
        <v>401</v>
      </c>
      <c r="E504" t="s">
        <v>257</v>
      </c>
      <c r="F504">
        <v>0</v>
      </c>
      <c r="G504">
        <v>4100</v>
      </c>
      <c r="H504">
        <v>525.13</v>
      </c>
      <c r="I504" s="90">
        <v>4625.13</v>
      </c>
      <c r="J504" s="90" t="s">
        <v>257</v>
      </c>
      <c r="K504" s="90" t="s">
        <v>451</v>
      </c>
      <c r="L504" t="s">
        <v>125</v>
      </c>
    </row>
    <row r="505" spans="1:12" x14ac:dyDescent="0.25">
      <c r="A505" t="s">
        <v>257</v>
      </c>
      <c r="B505" t="s">
        <v>308</v>
      </c>
      <c r="C505" s="138" t="s">
        <v>241</v>
      </c>
      <c r="D505" t="s">
        <v>242</v>
      </c>
      <c r="E505" t="s">
        <v>257</v>
      </c>
      <c r="F505">
        <v>0</v>
      </c>
      <c r="G505">
        <v>7000</v>
      </c>
      <c r="H505">
        <v>491.5</v>
      </c>
      <c r="I505" s="90">
        <v>7491.5</v>
      </c>
      <c r="J505" s="90" t="s">
        <v>257</v>
      </c>
      <c r="K505" s="90" t="s">
        <v>451</v>
      </c>
      <c r="L505" t="s">
        <v>110</v>
      </c>
    </row>
    <row r="506" spans="1:12" x14ac:dyDescent="0.25">
      <c r="A506" t="s">
        <v>257</v>
      </c>
      <c r="B506" t="s">
        <v>308</v>
      </c>
      <c r="C506" s="138" t="s">
        <v>223</v>
      </c>
      <c r="D506" t="s">
        <v>401</v>
      </c>
      <c r="E506" t="s">
        <v>257</v>
      </c>
      <c r="F506">
        <v>0</v>
      </c>
      <c r="G506">
        <v>4100</v>
      </c>
      <c r="H506">
        <v>525.13</v>
      </c>
      <c r="I506" s="90">
        <v>4625.13</v>
      </c>
      <c r="J506" s="90" t="s">
        <v>257</v>
      </c>
      <c r="K506" s="90" t="s">
        <v>451</v>
      </c>
      <c r="L506" t="s">
        <v>125</v>
      </c>
    </row>
    <row r="507" spans="1:12" x14ac:dyDescent="0.25">
      <c r="A507" t="s">
        <v>257</v>
      </c>
      <c r="B507" t="s">
        <v>308</v>
      </c>
      <c r="C507" s="138" t="s">
        <v>241</v>
      </c>
      <c r="D507" t="s">
        <v>242</v>
      </c>
      <c r="E507" t="s">
        <v>257</v>
      </c>
      <c r="F507">
        <v>0</v>
      </c>
      <c r="G507">
        <v>7000</v>
      </c>
      <c r="H507">
        <v>491.5</v>
      </c>
      <c r="I507" s="90">
        <v>7491.5</v>
      </c>
      <c r="J507" s="90" t="s">
        <v>257</v>
      </c>
      <c r="K507" s="90" t="s">
        <v>451</v>
      </c>
      <c r="L507" t="s">
        <v>110</v>
      </c>
    </row>
    <row r="508" spans="1:12" x14ac:dyDescent="0.25">
      <c r="A508" t="s">
        <v>257</v>
      </c>
      <c r="B508" t="s">
        <v>313</v>
      </c>
      <c r="C508" s="138" t="s">
        <v>218</v>
      </c>
      <c r="D508" t="s">
        <v>219</v>
      </c>
      <c r="E508" t="s">
        <v>257</v>
      </c>
      <c r="F508">
        <v>0</v>
      </c>
      <c r="G508">
        <v>6300</v>
      </c>
      <c r="H508">
        <v>1208.91</v>
      </c>
      <c r="I508" s="90">
        <v>7508.91</v>
      </c>
      <c r="J508" s="90" t="s">
        <v>257</v>
      </c>
      <c r="K508" s="90" t="s">
        <v>451</v>
      </c>
      <c r="L508" t="s">
        <v>113</v>
      </c>
    </row>
    <row r="509" spans="1:12" x14ac:dyDescent="0.25">
      <c r="A509" t="s">
        <v>257</v>
      </c>
      <c r="B509" t="s">
        <v>313</v>
      </c>
      <c r="C509" s="138" t="s">
        <v>399</v>
      </c>
      <c r="D509" t="s">
        <v>400</v>
      </c>
      <c r="E509" t="s">
        <v>351</v>
      </c>
      <c r="F509">
        <v>0</v>
      </c>
      <c r="G509">
        <v>7900</v>
      </c>
      <c r="H509">
        <v>616.69</v>
      </c>
      <c r="I509" s="90">
        <v>8516.69</v>
      </c>
      <c r="J509" s="90" t="s">
        <v>257</v>
      </c>
      <c r="K509" s="90" t="s">
        <v>451</v>
      </c>
      <c r="L509" t="s">
        <v>129</v>
      </c>
    </row>
    <row r="510" spans="1:12" x14ac:dyDescent="0.25">
      <c r="A510" t="s">
        <v>257</v>
      </c>
      <c r="B510" t="s">
        <v>313</v>
      </c>
      <c r="C510" s="138" t="s">
        <v>218</v>
      </c>
      <c r="D510" t="s">
        <v>219</v>
      </c>
      <c r="E510" t="s">
        <v>257</v>
      </c>
      <c r="F510">
        <v>0</v>
      </c>
      <c r="G510">
        <v>6300</v>
      </c>
      <c r="H510">
        <v>1208.91</v>
      </c>
      <c r="I510" s="90">
        <v>7508.91</v>
      </c>
      <c r="J510" s="90" t="s">
        <v>257</v>
      </c>
      <c r="K510" s="90" t="s">
        <v>451</v>
      </c>
      <c r="L510" t="s">
        <v>113</v>
      </c>
    </row>
    <row r="511" spans="1:12" x14ac:dyDescent="0.25">
      <c r="A511" t="s">
        <v>257</v>
      </c>
      <c r="B511" t="s">
        <v>313</v>
      </c>
      <c r="C511" s="138" t="s">
        <v>399</v>
      </c>
      <c r="D511" t="s">
        <v>400</v>
      </c>
      <c r="E511" t="s">
        <v>351</v>
      </c>
      <c r="F511">
        <v>0</v>
      </c>
      <c r="G511">
        <v>7900</v>
      </c>
      <c r="H511">
        <v>616.69</v>
      </c>
      <c r="I511" s="90">
        <v>8516.69</v>
      </c>
      <c r="J511" s="90" t="s">
        <v>257</v>
      </c>
      <c r="K511" s="90" t="s">
        <v>451</v>
      </c>
      <c r="L511" t="s">
        <v>129</v>
      </c>
    </row>
    <row r="512" spans="1:12" x14ac:dyDescent="0.25">
      <c r="A512" t="s">
        <v>257</v>
      </c>
      <c r="B512" t="s">
        <v>313</v>
      </c>
      <c r="C512" s="138" t="s">
        <v>399</v>
      </c>
      <c r="D512" t="s">
        <v>400</v>
      </c>
      <c r="E512" t="s">
        <v>351</v>
      </c>
      <c r="F512">
        <v>0</v>
      </c>
      <c r="G512">
        <v>7900</v>
      </c>
      <c r="H512">
        <v>616.69</v>
      </c>
      <c r="I512" s="90">
        <v>8516.69</v>
      </c>
      <c r="J512" s="90" t="s">
        <v>257</v>
      </c>
      <c r="K512" s="90" t="s">
        <v>451</v>
      </c>
      <c r="L512" t="s">
        <v>129</v>
      </c>
    </row>
    <row r="513" spans="1:12" x14ac:dyDescent="0.25">
      <c r="A513" t="s">
        <v>257</v>
      </c>
      <c r="B513" t="s">
        <v>318</v>
      </c>
      <c r="C513" s="138" t="s">
        <v>244</v>
      </c>
      <c r="D513" t="s">
        <v>245</v>
      </c>
      <c r="E513" t="s">
        <v>257</v>
      </c>
      <c r="F513">
        <v>0</v>
      </c>
      <c r="G513">
        <v>6400</v>
      </c>
      <c r="H513">
        <v>593.2199999999999</v>
      </c>
      <c r="I513" s="90">
        <v>6993.22</v>
      </c>
      <c r="J513" s="90" t="s">
        <v>257</v>
      </c>
      <c r="K513" s="90" t="s">
        <v>451</v>
      </c>
      <c r="L513" t="s">
        <v>107</v>
      </c>
    </row>
    <row r="514" spans="1:12" x14ac:dyDescent="0.25">
      <c r="A514" t="s">
        <v>257</v>
      </c>
      <c r="B514" t="s">
        <v>318</v>
      </c>
      <c r="C514" s="138" t="s">
        <v>397</v>
      </c>
      <c r="D514" t="s">
        <v>229</v>
      </c>
      <c r="E514" t="s">
        <v>257</v>
      </c>
      <c r="F514">
        <v>0</v>
      </c>
      <c r="G514">
        <v>4150</v>
      </c>
      <c r="H514">
        <v>629.49</v>
      </c>
      <c r="I514" s="90">
        <v>4779.49</v>
      </c>
      <c r="J514" s="90" t="s">
        <v>257</v>
      </c>
      <c r="K514" s="90" t="s">
        <v>451</v>
      </c>
      <c r="L514" t="s">
        <v>107</v>
      </c>
    </row>
    <row r="515" spans="1:12" x14ac:dyDescent="0.25">
      <c r="A515" t="s">
        <v>257</v>
      </c>
      <c r="B515" t="s">
        <v>318</v>
      </c>
      <c r="C515" s="138" t="s">
        <v>398</v>
      </c>
      <c r="D515" t="s">
        <v>146</v>
      </c>
      <c r="E515" t="s">
        <v>257</v>
      </c>
      <c r="F515">
        <v>0</v>
      </c>
      <c r="G515">
        <v>4400</v>
      </c>
      <c r="H515">
        <v>1158.93</v>
      </c>
      <c r="I515" s="90">
        <v>5558.93</v>
      </c>
      <c r="J515" s="90" t="s">
        <v>257</v>
      </c>
      <c r="K515" s="90" t="s">
        <v>451</v>
      </c>
      <c r="L515" t="s">
        <v>106</v>
      </c>
    </row>
    <row r="516" spans="1:12" x14ac:dyDescent="0.25">
      <c r="A516" t="s">
        <v>257</v>
      </c>
      <c r="B516" t="s">
        <v>318</v>
      </c>
      <c r="C516" s="138" t="s">
        <v>244</v>
      </c>
      <c r="D516" t="s">
        <v>245</v>
      </c>
      <c r="E516" t="s">
        <v>257</v>
      </c>
      <c r="F516">
        <v>0</v>
      </c>
      <c r="G516">
        <v>6400</v>
      </c>
      <c r="H516">
        <v>593.2199999999999</v>
      </c>
      <c r="I516" s="90">
        <v>6993.22</v>
      </c>
      <c r="J516" s="90" t="s">
        <v>257</v>
      </c>
      <c r="K516" s="90" t="s">
        <v>451</v>
      </c>
      <c r="L516" t="s">
        <v>107</v>
      </c>
    </row>
    <row r="517" spans="1:12" x14ac:dyDescent="0.25">
      <c r="A517" t="s">
        <v>257</v>
      </c>
      <c r="B517" t="s">
        <v>318</v>
      </c>
      <c r="C517" s="138" t="s">
        <v>397</v>
      </c>
      <c r="D517" t="s">
        <v>229</v>
      </c>
      <c r="E517" t="s">
        <v>257</v>
      </c>
      <c r="F517">
        <v>0</v>
      </c>
      <c r="G517">
        <v>4150</v>
      </c>
      <c r="H517">
        <v>629.49</v>
      </c>
      <c r="I517" s="90">
        <v>4779.49</v>
      </c>
      <c r="J517" s="90" t="s">
        <v>257</v>
      </c>
      <c r="K517" s="90" t="s">
        <v>451</v>
      </c>
      <c r="L517" t="s">
        <v>107</v>
      </c>
    </row>
    <row r="518" spans="1:12" x14ac:dyDescent="0.25">
      <c r="A518" t="s">
        <v>257</v>
      </c>
      <c r="B518" t="s">
        <v>318</v>
      </c>
      <c r="C518" s="138" t="s">
        <v>398</v>
      </c>
      <c r="D518" t="s">
        <v>146</v>
      </c>
      <c r="E518" t="s">
        <v>257</v>
      </c>
      <c r="F518">
        <v>0</v>
      </c>
      <c r="G518">
        <v>4400</v>
      </c>
      <c r="H518">
        <v>1158.93</v>
      </c>
      <c r="I518" s="90">
        <v>5558.93</v>
      </c>
      <c r="J518" s="90" t="s">
        <v>257</v>
      </c>
      <c r="K518" s="90" t="s">
        <v>451</v>
      </c>
      <c r="L518" t="s">
        <v>106</v>
      </c>
    </row>
    <row r="519" spans="1:12" x14ac:dyDescent="0.25">
      <c r="A519" t="s">
        <v>257</v>
      </c>
      <c r="B519" t="s">
        <v>318</v>
      </c>
      <c r="C519" s="138" t="s">
        <v>244</v>
      </c>
      <c r="D519" t="s">
        <v>245</v>
      </c>
      <c r="E519" t="s">
        <v>257</v>
      </c>
      <c r="F519">
        <v>0</v>
      </c>
      <c r="G519">
        <v>6400</v>
      </c>
      <c r="H519">
        <v>593.2199999999999</v>
      </c>
      <c r="I519" s="90">
        <v>6993.22</v>
      </c>
      <c r="J519" s="90" t="s">
        <v>257</v>
      </c>
      <c r="K519" s="90" t="s">
        <v>451</v>
      </c>
      <c r="L519" t="s">
        <v>107</v>
      </c>
    </row>
    <row r="520" spans="1:12" x14ac:dyDescent="0.25">
      <c r="A520" t="s">
        <v>257</v>
      </c>
      <c r="B520" t="s">
        <v>318</v>
      </c>
      <c r="C520" s="138" t="s">
        <v>397</v>
      </c>
      <c r="D520" t="s">
        <v>229</v>
      </c>
      <c r="E520" t="s">
        <v>257</v>
      </c>
      <c r="F520">
        <v>0</v>
      </c>
      <c r="G520">
        <v>4150</v>
      </c>
      <c r="H520">
        <v>629.49</v>
      </c>
      <c r="I520" s="90">
        <v>4779.49</v>
      </c>
      <c r="J520" s="90" t="s">
        <v>257</v>
      </c>
      <c r="K520" s="90" t="s">
        <v>451</v>
      </c>
      <c r="L520" t="s">
        <v>107</v>
      </c>
    </row>
    <row r="521" spans="1:12" x14ac:dyDescent="0.25">
      <c r="A521" t="s">
        <v>257</v>
      </c>
      <c r="B521" t="s">
        <v>318</v>
      </c>
      <c r="C521" s="138" t="s">
        <v>398</v>
      </c>
      <c r="D521" t="s">
        <v>146</v>
      </c>
      <c r="E521" t="s">
        <v>257</v>
      </c>
      <c r="F521">
        <v>0</v>
      </c>
      <c r="G521">
        <v>4400</v>
      </c>
      <c r="H521">
        <v>1158.93</v>
      </c>
      <c r="I521" s="90">
        <v>5558.93</v>
      </c>
      <c r="J521" s="90" t="s">
        <v>257</v>
      </c>
      <c r="K521" s="90" t="s">
        <v>451</v>
      </c>
      <c r="L521" t="s">
        <v>106</v>
      </c>
    </row>
    <row r="522" spans="1:12" x14ac:dyDescent="0.25">
      <c r="A522" t="s">
        <v>257</v>
      </c>
      <c r="B522" t="s">
        <v>317</v>
      </c>
      <c r="C522" s="138" t="s">
        <v>249</v>
      </c>
      <c r="D522" t="s">
        <v>70</v>
      </c>
      <c r="E522" t="s">
        <v>393</v>
      </c>
      <c r="F522">
        <v>2800</v>
      </c>
      <c r="G522">
        <v>0</v>
      </c>
      <c r="H522">
        <v>240.07999999999998</v>
      </c>
      <c r="I522" s="90">
        <v>240.07999999999998</v>
      </c>
      <c r="J522" s="90" t="s">
        <v>257</v>
      </c>
      <c r="K522" s="90" t="s">
        <v>451</v>
      </c>
      <c r="L522" t="s">
        <v>107</v>
      </c>
    </row>
    <row r="523" spans="1:12" x14ac:dyDescent="0.25">
      <c r="A523" t="s">
        <v>257</v>
      </c>
      <c r="B523" t="s">
        <v>317</v>
      </c>
      <c r="C523" s="138" t="s">
        <v>249</v>
      </c>
      <c r="D523" t="s">
        <v>70</v>
      </c>
      <c r="E523" t="s">
        <v>393</v>
      </c>
      <c r="F523">
        <v>2800</v>
      </c>
      <c r="G523">
        <v>0</v>
      </c>
      <c r="H523">
        <v>240.07999999999998</v>
      </c>
      <c r="I523" s="90">
        <v>240.07999999999998</v>
      </c>
      <c r="J523" s="90" t="s">
        <v>257</v>
      </c>
      <c r="K523" s="90" t="s">
        <v>451</v>
      </c>
      <c r="L523" t="s">
        <v>107</v>
      </c>
    </row>
    <row r="524" spans="1:12" x14ac:dyDescent="0.25">
      <c r="A524" t="s">
        <v>257</v>
      </c>
      <c r="B524" t="s">
        <v>317</v>
      </c>
      <c r="C524" s="138" t="s">
        <v>249</v>
      </c>
      <c r="D524" t="s">
        <v>70</v>
      </c>
      <c r="E524" t="s">
        <v>393</v>
      </c>
      <c r="F524">
        <v>2800</v>
      </c>
      <c r="G524">
        <v>0</v>
      </c>
      <c r="H524">
        <v>240.07999999999998</v>
      </c>
      <c r="I524" s="90">
        <v>240.07999999999998</v>
      </c>
      <c r="J524" s="90" t="s">
        <v>257</v>
      </c>
      <c r="K524" s="90" t="s">
        <v>451</v>
      </c>
      <c r="L524" t="s">
        <v>107</v>
      </c>
    </row>
    <row r="525" spans="1:12" x14ac:dyDescent="0.25">
      <c r="A525" t="s">
        <v>257</v>
      </c>
      <c r="B525" t="s">
        <v>333</v>
      </c>
      <c r="C525" s="138" t="s">
        <v>228</v>
      </c>
      <c r="D525" t="s">
        <v>229</v>
      </c>
      <c r="E525" t="s">
        <v>257</v>
      </c>
      <c r="F525">
        <v>0</v>
      </c>
      <c r="G525">
        <v>4900</v>
      </c>
      <c r="H525">
        <v>610.52</v>
      </c>
      <c r="I525" s="90">
        <v>5510.52</v>
      </c>
      <c r="J525" s="90" t="s">
        <v>257</v>
      </c>
      <c r="K525" s="90" t="s">
        <v>451</v>
      </c>
      <c r="L525" t="s">
        <v>129</v>
      </c>
    </row>
    <row r="526" spans="1:12" x14ac:dyDescent="0.25">
      <c r="A526" t="s">
        <v>257</v>
      </c>
      <c r="B526" t="s">
        <v>333</v>
      </c>
      <c r="C526" s="138" t="s">
        <v>228</v>
      </c>
      <c r="D526" t="s">
        <v>229</v>
      </c>
      <c r="E526" t="s">
        <v>257</v>
      </c>
      <c r="F526">
        <v>0</v>
      </c>
      <c r="G526">
        <v>4900</v>
      </c>
      <c r="H526">
        <v>610.52</v>
      </c>
      <c r="I526" s="90">
        <v>5510.52</v>
      </c>
      <c r="J526" s="90" t="s">
        <v>257</v>
      </c>
      <c r="K526" s="90" t="s">
        <v>451</v>
      </c>
      <c r="L526" t="s">
        <v>129</v>
      </c>
    </row>
    <row r="527" spans="1:12" x14ac:dyDescent="0.25">
      <c r="A527" t="s">
        <v>257</v>
      </c>
      <c r="B527" t="s">
        <v>314</v>
      </c>
      <c r="C527" s="138" t="s">
        <v>211</v>
      </c>
      <c r="D527" t="s">
        <v>212</v>
      </c>
      <c r="E527" t="s">
        <v>257</v>
      </c>
      <c r="F527">
        <v>0</v>
      </c>
      <c r="G527">
        <v>6700</v>
      </c>
      <c r="H527">
        <v>1531.48</v>
      </c>
      <c r="I527" s="90">
        <v>8231.48</v>
      </c>
      <c r="J527" s="90" t="s">
        <v>257</v>
      </c>
      <c r="K527" s="90" t="s">
        <v>451</v>
      </c>
      <c r="L527" t="s">
        <v>129</v>
      </c>
    </row>
    <row r="528" spans="1:12" x14ac:dyDescent="0.25">
      <c r="A528" t="s">
        <v>257</v>
      </c>
      <c r="B528" t="s">
        <v>314</v>
      </c>
      <c r="C528" s="138" t="s">
        <v>211</v>
      </c>
      <c r="D528" t="s">
        <v>212</v>
      </c>
      <c r="E528" t="s">
        <v>257</v>
      </c>
      <c r="F528">
        <v>0</v>
      </c>
      <c r="G528">
        <v>6700</v>
      </c>
      <c r="H528">
        <v>1531.48</v>
      </c>
      <c r="I528" s="90">
        <v>8231.48</v>
      </c>
      <c r="J528" s="90" t="s">
        <v>257</v>
      </c>
      <c r="K528" s="90" t="s">
        <v>451</v>
      </c>
      <c r="L528" t="s">
        <v>129</v>
      </c>
    </row>
    <row r="529" spans="1:12" x14ac:dyDescent="0.25">
      <c r="A529" t="s">
        <v>257</v>
      </c>
      <c r="B529" t="s">
        <v>261</v>
      </c>
      <c r="C529" s="138" t="s">
        <v>394</v>
      </c>
      <c r="D529" t="s">
        <v>395</v>
      </c>
      <c r="E529" t="s">
        <v>257</v>
      </c>
      <c r="F529">
        <v>0</v>
      </c>
      <c r="G529">
        <v>5700</v>
      </c>
      <c r="H529">
        <v>1043.575</v>
      </c>
      <c r="I529" s="90">
        <v>6743.575</v>
      </c>
      <c r="J529" s="90" t="s">
        <v>257</v>
      </c>
      <c r="K529" s="90" t="s">
        <v>451</v>
      </c>
      <c r="L529" t="s">
        <v>113</v>
      </c>
    </row>
    <row r="530" spans="1:12" x14ac:dyDescent="0.25">
      <c r="A530" t="s">
        <v>257</v>
      </c>
      <c r="B530" t="s">
        <v>261</v>
      </c>
      <c r="C530" s="138" t="s">
        <v>396</v>
      </c>
      <c r="D530" t="s">
        <v>180</v>
      </c>
      <c r="E530" t="s">
        <v>257</v>
      </c>
      <c r="F530">
        <v>0</v>
      </c>
      <c r="G530">
        <v>5500</v>
      </c>
      <c r="H530">
        <v>592.52</v>
      </c>
      <c r="I530" s="90">
        <v>6092.52</v>
      </c>
      <c r="J530" s="90" t="s">
        <v>257</v>
      </c>
      <c r="K530" s="90" t="s">
        <v>451</v>
      </c>
      <c r="L530" t="s">
        <v>113</v>
      </c>
    </row>
    <row r="531" spans="1:12" x14ac:dyDescent="0.25">
      <c r="A531" t="s">
        <v>257</v>
      </c>
      <c r="B531" t="s">
        <v>261</v>
      </c>
      <c r="C531" s="138" t="s">
        <v>193</v>
      </c>
      <c r="D531" t="s">
        <v>194</v>
      </c>
      <c r="E531" t="s">
        <v>257</v>
      </c>
      <c r="F531">
        <v>0</v>
      </c>
      <c r="G531">
        <v>4750</v>
      </c>
      <c r="H531">
        <v>488.035</v>
      </c>
      <c r="I531" s="90">
        <v>5238.035</v>
      </c>
      <c r="J531" s="90" t="s">
        <v>257</v>
      </c>
      <c r="K531" s="90" t="s">
        <v>451</v>
      </c>
      <c r="L531" t="s">
        <v>125</v>
      </c>
    </row>
    <row r="532" spans="1:12" x14ac:dyDescent="0.25">
      <c r="A532" t="s">
        <v>257</v>
      </c>
      <c r="B532" t="s">
        <v>261</v>
      </c>
      <c r="C532" s="138" t="s">
        <v>394</v>
      </c>
      <c r="D532" t="s">
        <v>395</v>
      </c>
      <c r="E532" t="s">
        <v>257</v>
      </c>
      <c r="F532">
        <v>0</v>
      </c>
      <c r="G532">
        <v>5700</v>
      </c>
      <c r="H532">
        <v>1043.575</v>
      </c>
      <c r="I532" s="90">
        <v>6743.575</v>
      </c>
      <c r="J532" s="90" t="s">
        <v>257</v>
      </c>
      <c r="K532" s="90" t="s">
        <v>451</v>
      </c>
      <c r="L532" t="s">
        <v>113</v>
      </c>
    </row>
    <row r="533" spans="1:12" x14ac:dyDescent="0.25">
      <c r="A533" t="s">
        <v>257</v>
      </c>
      <c r="B533" t="s">
        <v>261</v>
      </c>
      <c r="C533" s="138" t="s">
        <v>396</v>
      </c>
      <c r="D533" t="s">
        <v>180</v>
      </c>
      <c r="E533" t="s">
        <v>257</v>
      </c>
      <c r="F533">
        <v>0</v>
      </c>
      <c r="G533">
        <v>5500</v>
      </c>
      <c r="H533">
        <v>592.52</v>
      </c>
      <c r="I533" s="90">
        <v>6092.52</v>
      </c>
      <c r="J533" s="90" t="s">
        <v>257</v>
      </c>
      <c r="K533" s="90" t="s">
        <v>451</v>
      </c>
      <c r="L533" t="s">
        <v>113</v>
      </c>
    </row>
    <row r="534" spans="1:12" x14ac:dyDescent="0.25">
      <c r="A534" t="s">
        <v>257</v>
      </c>
      <c r="B534" t="s">
        <v>261</v>
      </c>
      <c r="C534" s="138" t="s">
        <v>394</v>
      </c>
      <c r="D534" t="s">
        <v>395</v>
      </c>
      <c r="E534" t="s">
        <v>257</v>
      </c>
      <c r="F534">
        <v>0</v>
      </c>
      <c r="G534">
        <v>5700</v>
      </c>
      <c r="H534">
        <v>1043.575</v>
      </c>
      <c r="I534" s="90">
        <v>6743.575</v>
      </c>
      <c r="J534" s="90" t="s">
        <v>257</v>
      </c>
      <c r="K534" s="90" t="s">
        <v>451</v>
      </c>
      <c r="L534" t="s">
        <v>113</v>
      </c>
    </row>
    <row r="535" spans="1:12" x14ac:dyDescent="0.25">
      <c r="A535" t="s">
        <v>257</v>
      </c>
      <c r="B535" t="s">
        <v>261</v>
      </c>
      <c r="C535" s="138" t="s">
        <v>396</v>
      </c>
      <c r="D535" t="s">
        <v>180</v>
      </c>
      <c r="E535" t="s">
        <v>257</v>
      </c>
      <c r="F535">
        <v>0</v>
      </c>
      <c r="G535">
        <v>5500</v>
      </c>
      <c r="H535">
        <v>592.52</v>
      </c>
      <c r="I535" s="90">
        <v>6092.52</v>
      </c>
      <c r="J535" s="90" t="s">
        <v>257</v>
      </c>
      <c r="K535" s="90" t="s">
        <v>451</v>
      </c>
      <c r="L535" t="s">
        <v>113</v>
      </c>
    </row>
    <row r="536" spans="1:12" x14ac:dyDescent="0.25">
      <c r="A536" t="s">
        <v>257</v>
      </c>
      <c r="B536" t="s">
        <v>315</v>
      </c>
      <c r="C536" s="138" t="s">
        <v>208</v>
      </c>
      <c r="D536" t="s">
        <v>209</v>
      </c>
      <c r="E536" t="s">
        <v>257</v>
      </c>
      <c r="F536">
        <v>0</v>
      </c>
      <c r="G536">
        <v>4500</v>
      </c>
      <c r="H536">
        <v>836.2800000000001</v>
      </c>
      <c r="I536" s="90">
        <v>5336.28</v>
      </c>
      <c r="J536" s="90" t="s">
        <v>257</v>
      </c>
      <c r="K536" s="90" t="s">
        <v>451</v>
      </c>
      <c r="L536" t="s">
        <v>125</v>
      </c>
    </row>
    <row r="537" spans="1:12" x14ac:dyDescent="0.25">
      <c r="A537" t="s">
        <v>257</v>
      </c>
      <c r="B537" t="s">
        <v>315</v>
      </c>
      <c r="C537" s="138" t="s">
        <v>208</v>
      </c>
      <c r="D537" t="s">
        <v>209</v>
      </c>
      <c r="E537" t="s">
        <v>257</v>
      </c>
      <c r="F537">
        <v>0</v>
      </c>
      <c r="G537">
        <v>4500</v>
      </c>
      <c r="H537">
        <v>836.2800000000001</v>
      </c>
      <c r="I537" s="90">
        <v>5336.28</v>
      </c>
      <c r="J537" s="90" t="s">
        <v>257</v>
      </c>
      <c r="K537" s="90" t="s">
        <v>451</v>
      </c>
      <c r="L537" t="s">
        <v>125</v>
      </c>
    </row>
    <row r="538" spans="1:12" x14ac:dyDescent="0.25">
      <c r="A538" t="s">
        <v>257</v>
      </c>
      <c r="B538" t="s">
        <v>258</v>
      </c>
      <c r="C538" s="138" t="s">
        <v>191</v>
      </c>
      <c r="D538" t="s">
        <v>131</v>
      </c>
      <c r="E538" t="s">
        <v>257</v>
      </c>
      <c r="F538">
        <v>0</v>
      </c>
      <c r="G538">
        <v>6700</v>
      </c>
      <c r="H538">
        <v>972.2</v>
      </c>
      <c r="I538" s="90">
        <v>7672.2</v>
      </c>
      <c r="J538" s="90" t="s">
        <v>257</v>
      </c>
      <c r="K538" s="90" t="s">
        <v>451</v>
      </c>
      <c r="L538" t="s">
        <v>113</v>
      </c>
    </row>
    <row r="539" spans="1:12" x14ac:dyDescent="0.25">
      <c r="A539" t="s">
        <v>257</v>
      </c>
      <c r="B539" t="s">
        <v>258</v>
      </c>
      <c r="C539" s="138" t="s">
        <v>189</v>
      </c>
      <c r="D539" t="s">
        <v>190</v>
      </c>
      <c r="E539" t="s">
        <v>257</v>
      </c>
      <c r="F539">
        <v>0</v>
      </c>
      <c r="G539">
        <v>3500</v>
      </c>
      <c r="H539">
        <v>687.38</v>
      </c>
      <c r="I539" s="90">
        <v>4187.38</v>
      </c>
      <c r="J539" s="90" t="s">
        <v>257</v>
      </c>
      <c r="K539" s="90" t="s">
        <v>451</v>
      </c>
      <c r="L539" t="s">
        <v>110</v>
      </c>
    </row>
    <row r="540" spans="1:12" x14ac:dyDescent="0.25">
      <c r="A540" t="s">
        <v>257</v>
      </c>
      <c r="B540" t="s">
        <v>263</v>
      </c>
      <c r="C540" s="138" t="s">
        <v>221</v>
      </c>
      <c r="D540" t="s">
        <v>128</v>
      </c>
      <c r="E540" t="s">
        <v>377</v>
      </c>
      <c r="F540">
        <v>0</v>
      </c>
      <c r="G540">
        <v>4925</v>
      </c>
      <c r="H540">
        <v>1022.61</v>
      </c>
      <c r="I540" s="90">
        <v>5947.61</v>
      </c>
      <c r="J540" s="90" t="s">
        <v>257</v>
      </c>
      <c r="K540" s="90" t="s">
        <v>451</v>
      </c>
      <c r="L540" t="s">
        <v>110</v>
      </c>
    </row>
    <row r="541" spans="1:12" x14ac:dyDescent="0.25">
      <c r="A541" t="s">
        <v>257</v>
      </c>
      <c r="B541" t="s">
        <v>263</v>
      </c>
      <c r="C541" s="138" t="s">
        <v>221</v>
      </c>
      <c r="D541" t="s">
        <v>128</v>
      </c>
      <c r="E541" t="s">
        <v>377</v>
      </c>
      <c r="F541">
        <v>0</v>
      </c>
      <c r="G541">
        <v>4925</v>
      </c>
      <c r="H541">
        <v>1022.61</v>
      </c>
      <c r="I541" s="90">
        <v>5947.61</v>
      </c>
      <c r="J541" s="90" t="s">
        <v>257</v>
      </c>
      <c r="K541" s="90" t="s">
        <v>451</v>
      </c>
      <c r="L541" t="s">
        <v>110</v>
      </c>
    </row>
    <row r="542" spans="1:12" x14ac:dyDescent="0.25">
      <c r="A542" t="s">
        <v>257</v>
      </c>
      <c r="B542" t="s">
        <v>265</v>
      </c>
      <c r="C542" s="138" t="s">
        <v>200</v>
      </c>
      <c r="D542" t="s">
        <v>201</v>
      </c>
      <c r="E542" t="s">
        <v>393</v>
      </c>
      <c r="F542">
        <v>0</v>
      </c>
      <c r="G542">
        <v>0</v>
      </c>
      <c r="H542">
        <v>781.27</v>
      </c>
      <c r="I542" s="90">
        <v>781.27</v>
      </c>
      <c r="J542" s="90" t="s">
        <v>257</v>
      </c>
      <c r="K542" s="90" t="s">
        <v>451</v>
      </c>
      <c r="L542" t="s">
        <v>107</v>
      </c>
    </row>
    <row r="543" spans="1:12" x14ac:dyDescent="0.25">
      <c r="A543" t="s">
        <v>257</v>
      </c>
      <c r="B543" t="s">
        <v>265</v>
      </c>
      <c r="C543" s="138" t="s">
        <v>254</v>
      </c>
      <c r="D543" t="s">
        <v>255</v>
      </c>
      <c r="E543" t="s">
        <v>393</v>
      </c>
      <c r="F543">
        <v>4000</v>
      </c>
      <c r="G543">
        <v>0</v>
      </c>
      <c r="H543">
        <v>122.46000000000001</v>
      </c>
      <c r="I543" s="90">
        <v>4122.46</v>
      </c>
      <c r="J543" s="90" t="s">
        <v>257</v>
      </c>
      <c r="K543" s="90" t="s">
        <v>451</v>
      </c>
      <c r="L543" t="s">
        <v>107</v>
      </c>
    </row>
    <row r="544" spans="1:12" x14ac:dyDescent="0.25">
      <c r="A544" t="s">
        <v>257</v>
      </c>
      <c r="B544" t="s">
        <v>265</v>
      </c>
      <c r="C544" s="138" t="s">
        <v>254</v>
      </c>
      <c r="D544" t="s">
        <v>255</v>
      </c>
      <c r="E544" t="s">
        <v>393</v>
      </c>
      <c r="F544">
        <v>4000</v>
      </c>
      <c r="G544">
        <v>0</v>
      </c>
      <c r="H544">
        <v>122.46000000000001</v>
      </c>
      <c r="I544" s="90">
        <v>4122.46</v>
      </c>
      <c r="J544" s="90" t="s">
        <v>257</v>
      </c>
      <c r="K544" s="90" t="s">
        <v>451</v>
      </c>
      <c r="L544" t="s">
        <v>107</v>
      </c>
    </row>
    <row r="545" spans="1:12" x14ac:dyDescent="0.25">
      <c r="A545" t="s">
        <v>257</v>
      </c>
      <c r="B545" t="s">
        <v>265</v>
      </c>
      <c r="C545" s="138" t="s">
        <v>254</v>
      </c>
      <c r="D545" t="s">
        <v>255</v>
      </c>
      <c r="E545" t="s">
        <v>393</v>
      </c>
      <c r="F545">
        <v>4000</v>
      </c>
      <c r="G545">
        <v>0</v>
      </c>
      <c r="H545">
        <v>122.46000000000001</v>
      </c>
      <c r="I545" s="90">
        <v>122.46000000000001</v>
      </c>
      <c r="J545" s="90" t="s">
        <v>257</v>
      </c>
      <c r="K545" s="90" t="s">
        <v>451</v>
      </c>
      <c r="L545" t="s">
        <v>107</v>
      </c>
    </row>
    <row r="546" spans="1:12" x14ac:dyDescent="0.25">
      <c r="A546" t="s">
        <v>257</v>
      </c>
      <c r="B546" t="s">
        <v>463</v>
      </c>
      <c r="C546" s="138" t="s">
        <v>390</v>
      </c>
      <c r="D546" t="s">
        <v>391</v>
      </c>
      <c r="E546" t="s">
        <v>359</v>
      </c>
      <c r="F546">
        <v>0</v>
      </c>
      <c r="G546">
        <v>3850</v>
      </c>
      <c r="H546">
        <v>2836.6800000000003</v>
      </c>
      <c r="I546" s="90">
        <v>6686.68</v>
      </c>
      <c r="J546" s="90" t="s">
        <v>257</v>
      </c>
      <c r="K546" s="90" t="s">
        <v>451</v>
      </c>
      <c r="L546" t="s">
        <v>392</v>
      </c>
    </row>
    <row r="547" spans="1:12" x14ac:dyDescent="0.25">
      <c r="A547" t="s">
        <v>257</v>
      </c>
      <c r="B547" t="s">
        <v>463</v>
      </c>
      <c r="C547" s="138" t="s">
        <v>390</v>
      </c>
      <c r="D547" t="s">
        <v>391</v>
      </c>
      <c r="E547" t="s">
        <v>359</v>
      </c>
      <c r="F547">
        <v>0</v>
      </c>
      <c r="G547">
        <v>3850</v>
      </c>
      <c r="H547">
        <v>2836.6800000000003</v>
      </c>
      <c r="I547" s="90">
        <v>6686.68</v>
      </c>
      <c r="J547" s="90" t="s">
        <v>257</v>
      </c>
      <c r="K547" s="90" t="s">
        <v>451</v>
      </c>
      <c r="L547" t="s">
        <v>392</v>
      </c>
    </row>
    <row r="548" spans="1:12" x14ac:dyDescent="0.25">
      <c r="A548" t="s">
        <v>257</v>
      </c>
      <c r="B548" t="s">
        <v>463</v>
      </c>
      <c r="C548" s="138" t="s">
        <v>390</v>
      </c>
      <c r="D548" t="s">
        <v>391</v>
      </c>
      <c r="E548" t="s">
        <v>359</v>
      </c>
      <c r="F548">
        <v>0</v>
      </c>
      <c r="G548">
        <v>3850</v>
      </c>
      <c r="H548">
        <v>2836.6800000000003</v>
      </c>
      <c r="I548" s="90">
        <v>6686.68</v>
      </c>
      <c r="J548" s="90" t="s">
        <v>257</v>
      </c>
      <c r="K548" s="90" t="s">
        <v>451</v>
      </c>
      <c r="L548" t="s">
        <v>107</v>
      </c>
    </row>
    <row r="549" spans="1:12" x14ac:dyDescent="0.25">
      <c r="A549" t="s">
        <v>257</v>
      </c>
      <c r="B549" t="s">
        <v>463</v>
      </c>
      <c r="C549" s="138" t="s">
        <v>390</v>
      </c>
      <c r="D549" t="s">
        <v>391</v>
      </c>
      <c r="E549" t="s">
        <v>359</v>
      </c>
      <c r="F549">
        <v>0</v>
      </c>
      <c r="G549">
        <v>3850</v>
      </c>
      <c r="H549">
        <v>2836.6800000000003</v>
      </c>
      <c r="I549" s="90">
        <v>6686.68</v>
      </c>
      <c r="J549" s="90" t="s">
        <v>257</v>
      </c>
      <c r="K549" s="90" t="s">
        <v>451</v>
      </c>
      <c r="L549" t="s">
        <v>107</v>
      </c>
    </row>
    <row r="550" spans="1:12" x14ac:dyDescent="0.25">
      <c r="A550" t="s">
        <v>257</v>
      </c>
      <c r="B550" t="s">
        <v>266</v>
      </c>
      <c r="C550" s="138" t="s">
        <v>236</v>
      </c>
      <c r="D550" t="s">
        <v>237</v>
      </c>
      <c r="E550" t="s">
        <v>359</v>
      </c>
      <c r="F550">
        <v>0</v>
      </c>
      <c r="G550">
        <v>5500</v>
      </c>
      <c r="H550">
        <v>897.64</v>
      </c>
      <c r="I550" s="90">
        <v>6397.64</v>
      </c>
      <c r="J550" s="90" t="s">
        <v>257</v>
      </c>
      <c r="K550" s="90" t="s">
        <v>451</v>
      </c>
      <c r="L550" t="s">
        <v>129</v>
      </c>
    </row>
    <row r="551" spans="1:12" x14ac:dyDescent="0.25">
      <c r="A551" t="s">
        <v>257</v>
      </c>
      <c r="B551" t="s">
        <v>266</v>
      </c>
      <c r="C551" s="138" t="s">
        <v>205</v>
      </c>
      <c r="D551" t="s">
        <v>206</v>
      </c>
      <c r="E551" t="s">
        <v>359</v>
      </c>
      <c r="F551">
        <v>0</v>
      </c>
      <c r="G551">
        <v>5300</v>
      </c>
      <c r="H551">
        <v>1088.24</v>
      </c>
      <c r="I551" s="90">
        <v>6388.24</v>
      </c>
      <c r="J551" s="90" t="s">
        <v>257</v>
      </c>
      <c r="K551" s="90" t="s">
        <v>451</v>
      </c>
      <c r="L551" t="s">
        <v>107</v>
      </c>
    </row>
    <row r="552" spans="1:12" x14ac:dyDescent="0.25">
      <c r="A552" t="s">
        <v>257</v>
      </c>
      <c r="B552" t="s">
        <v>266</v>
      </c>
      <c r="C552" s="138" t="s">
        <v>179</v>
      </c>
      <c r="D552" t="s">
        <v>180</v>
      </c>
      <c r="E552" t="s">
        <v>359</v>
      </c>
      <c r="F552">
        <v>0</v>
      </c>
      <c r="G552">
        <v>850</v>
      </c>
      <c r="H552">
        <v>478.74</v>
      </c>
      <c r="I552" s="90">
        <v>1328.74</v>
      </c>
      <c r="J552" s="90" t="s">
        <v>257</v>
      </c>
      <c r="K552" s="90" t="s">
        <v>451</v>
      </c>
      <c r="L552" t="s">
        <v>107</v>
      </c>
    </row>
    <row r="553" spans="1:12" x14ac:dyDescent="0.25">
      <c r="A553" t="s">
        <v>257</v>
      </c>
      <c r="B553" t="s">
        <v>266</v>
      </c>
      <c r="C553" s="138" t="s">
        <v>236</v>
      </c>
      <c r="D553" t="s">
        <v>237</v>
      </c>
      <c r="E553" t="s">
        <v>359</v>
      </c>
      <c r="F553">
        <v>0</v>
      </c>
      <c r="G553">
        <v>5500</v>
      </c>
      <c r="H553">
        <v>897.64</v>
      </c>
      <c r="I553" s="90">
        <v>6397.64</v>
      </c>
      <c r="J553" s="90" t="s">
        <v>257</v>
      </c>
      <c r="K553" s="90" t="s">
        <v>451</v>
      </c>
      <c r="L553" t="s">
        <v>129</v>
      </c>
    </row>
    <row r="554" spans="1:12" x14ac:dyDescent="0.25">
      <c r="A554" t="s">
        <v>257</v>
      </c>
      <c r="B554" t="s">
        <v>266</v>
      </c>
      <c r="C554" s="138" t="s">
        <v>205</v>
      </c>
      <c r="D554" t="s">
        <v>206</v>
      </c>
      <c r="E554" t="s">
        <v>377</v>
      </c>
      <c r="F554">
        <v>0</v>
      </c>
      <c r="G554">
        <v>5300</v>
      </c>
      <c r="H554">
        <v>1088.24</v>
      </c>
      <c r="I554" s="90">
        <v>6388.24</v>
      </c>
      <c r="J554" s="90" t="s">
        <v>257</v>
      </c>
      <c r="K554" s="90" t="s">
        <v>451</v>
      </c>
      <c r="L554" t="s">
        <v>107</v>
      </c>
    </row>
    <row r="555" spans="1:12" x14ac:dyDescent="0.25">
      <c r="A555" t="s">
        <v>257</v>
      </c>
      <c r="B555" t="s">
        <v>266</v>
      </c>
      <c r="C555" s="138" t="s">
        <v>236</v>
      </c>
      <c r="D555" t="s">
        <v>237</v>
      </c>
      <c r="E555" t="s">
        <v>359</v>
      </c>
      <c r="F555">
        <v>0</v>
      </c>
      <c r="G555">
        <v>5500</v>
      </c>
      <c r="H555">
        <v>897.64</v>
      </c>
      <c r="I555" s="90">
        <v>6397.64</v>
      </c>
      <c r="J555" s="90" t="s">
        <v>257</v>
      </c>
      <c r="K555" s="90" t="s">
        <v>451</v>
      </c>
      <c r="L555" t="s">
        <v>129</v>
      </c>
    </row>
    <row r="556" spans="1:12" x14ac:dyDescent="0.25">
      <c r="A556" t="s">
        <v>257</v>
      </c>
      <c r="B556" t="s">
        <v>266</v>
      </c>
      <c r="C556" s="138" t="s">
        <v>205</v>
      </c>
      <c r="D556" t="s">
        <v>206</v>
      </c>
      <c r="E556" t="s">
        <v>377</v>
      </c>
      <c r="F556">
        <v>5500</v>
      </c>
      <c r="G556">
        <v>5300</v>
      </c>
      <c r="H556">
        <v>1088.24</v>
      </c>
      <c r="I556" s="90">
        <v>6388.24</v>
      </c>
      <c r="J556" s="90" t="s">
        <v>257</v>
      </c>
      <c r="K556" s="90" t="s">
        <v>451</v>
      </c>
      <c r="L556" t="s">
        <v>107</v>
      </c>
    </row>
    <row r="557" spans="1:12" x14ac:dyDescent="0.25">
      <c r="A557" t="s">
        <v>257</v>
      </c>
      <c r="B557" t="s">
        <v>464</v>
      </c>
      <c r="C557" s="138" t="s">
        <v>174</v>
      </c>
      <c r="D557" t="s">
        <v>175</v>
      </c>
      <c r="E557" t="s">
        <v>359</v>
      </c>
      <c r="F557">
        <v>0</v>
      </c>
      <c r="G557">
        <v>4600</v>
      </c>
      <c r="H557">
        <v>653.0200000000001</v>
      </c>
      <c r="I557" s="90">
        <v>5253.02</v>
      </c>
      <c r="J557" s="90" t="s">
        <v>257</v>
      </c>
      <c r="K557" s="90" t="s">
        <v>451</v>
      </c>
      <c r="L557" t="s">
        <v>107</v>
      </c>
    </row>
    <row r="558" spans="1:12" x14ac:dyDescent="0.25">
      <c r="A558" t="s">
        <v>257</v>
      </c>
      <c r="B558" t="s">
        <v>465</v>
      </c>
      <c r="C558" s="138" t="s">
        <v>388</v>
      </c>
      <c r="D558" t="s">
        <v>389</v>
      </c>
      <c r="E558" t="s">
        <v>359</v>
      </c>
      <c r="F558">
        <v>0</v>
      </c>
      <c r="G558">
        <v>5665.88</v>
      </c>
      <c r="H558">
        <v>862.8499999999999</v>
      </c>
      <c r="I558" s="90">
        <v>6528.73</v>
      </c>
      <c r="J558" s="90" t="s">
        <v>257</v>
      </c>
      <c r="K558" s="90" t="s">
        <v>451</v>
      </c>
      <c r="L558" t="s">
        <v>125</v>
      </c>
    </row>
    <row r="559" spans="1:12" x14ac:dyDescent="0.25">
      <c r="A559" t="s">
        <v>257</v>
      </c>
      <c r="B559" t="s">
        <v>465</v>
      </c>
      <c r="C559" s="138" t="s">
        <v>388</v>
      </c>
      <c r="D559" t="s">
        <v>389</v>
      </c>
      <c r="E559" t="s">
        <v>377</v>
      </c>
      <c r="F559">
        <v>0</v>
      </c>
      <c r="G559">
        <v>5665.88</v>
      </c>
      <c r="H559">
        <v>862.8499999999999</v>
      </c>
      <c r="I559" s="90">
        <v>6528.73</v>
      </c>
      <c r="J559" s="90" t="s">
        <v>257</v>
      </c>
      <c r="K559" s="90" t="s">
        <v>451</v>
      </c>
      <c r="L559" t="s">
        <v>125</v>
      </c>
    </row>
    <row r="560" spans="1:12" x14ac:dyDescent="0.25">
      <c r="A560" t="s">
        <v>257</v>
      </c>
      <c r="B560" t="s">
        <v>465</v>
      </c>
      <c r="C560" s="138" t="s">
        <v>388</v>
      </c>
      <c r="D560" t="s">
        <v>389</v>
      </c>
      <c r="E560" t="s">
        <v>377</v>
      </c>
      <c r="F560">
        <v>0</v>
      </c>
      <c r="G560">
        <v>5665.88</v>
      </c>
      <c r="H560">
        <v>862.8499999999999</v>
      </c>
      <c r="I560" s="90">
        <v>6528.73</v>
      </c>
      <c r="J560" s="90" t="s">
        <v>257</v>
      </c>
      <c r="K560" s="90" t="s">
        <v>451</v>
      </c>
      <c r="L560" t="s">
        <v>125</v>
      </c>
    </row>
    <row r="561" spans="1:12" x14ac:dyDescent="0.25">
      <c r="A561" t="s">
        <v>257</v>
      </c>
      <c r="B561" t="s">
        <v>465</v>
      </c>
      <c r="C561" s="138" t="s">
        <v>388</v>
      </c>
      <c r="D561" t="s">
        <v>389</v>
      </c>
      <c r="E561" t="s">
        <v>377</v>
      </c>
      <c r="F561">
        <v>0</v>
      </c>
      <c r="G561">
        <v>5665.88</v>
      </c>
      <c r="H561">
        <v>862.8499999999999</v>
      </c>
      <c r="I561" s="90">
        <v>6528.73</v>
      </c>
      <c r="J561" s="90" t="s">
        <v>257</v>
      </c>
      <c r="K561" s="90" t="s">
        <v>451</v>
      </c>
      <c r="L561" t="s">
        <v>125</v>
      </c>
    </row>
    <row r="562" spans="1:12" x14ac:dyDescent="0.25">
      <c r="A562" t="s">
        <v>257</v>
      </c>
      <c r="B562" t="s">
        <v>466</v>
      </c>
      <c r="C562" s="138" t="s">
        <v>386</v>
      </c>
      <c r="D562" t="s">
        <v>387</v>
      </c>
      <c r="E562" t="s">
        <v>359</v>
      </c>
      <c r="F562">
        <v>0</v>
      </c>
      <c r="G562">
        <v>4950</v>
      </c>
      <c r="H562">
        <v>424.73</v>
      </c>
      <c r="I562" s="90">
        <v>5374.73</v>
      </c>
      <c r="J562" s="90" t="s">
        <v>257</v>
      </c>
      <c r="K562" s="90" t="s">
        <v>451</v>
      </c>
      <c r="L562" t="s">
        <v>107</v>
      </c>
    </row>
    <row r="563" spans="1:12" x14ac:dyDescent="0.25">
      <c r="A563" t="s">
        <v>257</v>
      </c>
      <c r="B563" t="s">
        <v>466</v>
      </c>
      <c r="C563" s="138" t="s">
        <v>386</v>
      </c>
      <c r="D563" t="s">
        <v>387</v>
      </c>
      <c r="E563" t="s">
        <v>359</v>
      </c>
      <c r="F563">
        <v>0</v>
      </c>
      <c r="G563">
        <v>4950</v>
      </c>
      <c r="H563">
        <v>424.73</v>
      </c>
      <c r="I563" s="90">
        <v>5374.73</v>
      </c>
      <c r="J563" s="90" t="s">
        <v>257</v>
      </c>
      <c r="K563" s="90" t="s">
        <v>451</v>
      </c>
      <c r="L563" t="s">
        <v>107</v>
      </c>
    </row>
    <row r="564" spans="1:12" x14ac:dyDescent="0.25">
      <c r="A564" t="s">
        <v>257</v>
      </c>
      <c r="B564" t="s">
        <v>466</v>
      </c>
      <c r="C564" s="138" t="s">
        <v>386</v>
      </c>
      <c r="D564" t="s">
        <v>387</v>
      </c>
      <c r="E564" t="s">
        <v>359</v>
      </c>
      <c r="F564">
        <v>0</v>
      </c>
      <c r="G564">
        <v>4950</v>
      </c>
      <c r="H564">
        <v>424.73</v>
      </c>
      <c r="I564" s="90">
        <v>5374.73</v>
      </c>
      <c r="J564" s="90" t="s">
        <v>257</v>
      </c>
      <c r="K564" s="90" t="s">
        <v>451</v>
      </c>
      <c r="L564" t="s">
        <v>107</v>
      </c>
    </row>
    <row r="565" spans="1:12" x14ac:dyDescent="0.25">
      <c r="A565" t="s">
        <v>257</v>
      </c>
      <c r="B565" t="s">
        <v>466</v>
      </c>
      <c r="C565" s="138" t="s">
        <v>386</v>
      </c>
      <c r="D565" t="s">
        <v>387</v>
      </c>
      <c r="E565" t="s">
        <v>359</v>
      </c>
      <c r="F565">
        <v>0</v>
      </c>
      <c r="G565">
        <v>4950</v>
      </c>
      <c r="H565">
        <v>424.73</v>
      </c>
      <c r="I565" s="90">
        <v>5374.73</v>
      </c>
      <c r="J565" s="90" t="s">
        <v>257</v>
      </c>
      <c r="K565" s="90" t="s">
        <v>451</v>
      </c>
      <c r="L565" t="s">
        <v>107</v>
      </c>
    </row>
    <row r="566" spans="1:12" x14ac:dyDescent="0.25">
      <c r="A566" t="s">
        <v>257</v>
      </c>
      <c r="B566" t="s">
        <v>264</v>
      </c>
      <c r="C566" s="138" t="s">
        <v>183</v>
      </c>
      <c r="D566" t="s">
        <v>184</v>
      </c>
      <c r="E566" t="s">
        <v>359</v>
      </c>
      <c r="F566">
        <v>0</v>
      </c>
      <c r="G566">
        <v>7023</v>
      </c>
      <c r="H566">
        <v>1223.15</v>
      </c>
      <c r="I566" s="90">
        <v>8246.15</v>
      </c>
      <c r="J566" s="90" t="s">
        <v>257</v>
      </c>
      <c r="K566" s="90" t="s">
        <v>451</v>
      </c>
      <c r="L566" t="s">
        <v>107</v>
      </c>
    </row>
    <row r="567" spans="1:12" x14ac:dyDescent="0.25">
      <c r="A567" t="s">
        <v>257</v>
      </c>
      <c r="B567" t="s">
        <v>264</v>
      </c>
      <c r="C567" s="138" t="s">
        <v>183</v>
      </c>
      <c r="D567" t="s">
        <v>184</v>
      </c>
      <c r="E567" t="s">
        <v>377</v>
      </c>
      <c r="F567">
        <v>0</v>
      </c>
      <c r="G567">
        <v>7023</v>
      </c>
      <c r="H567">
        <v>1223.15</v>
      </c>
      <c r="I567" s="90">
        <v>8246.15</v>
      </c>
      <c r="J567" s="90" t="s">
        <v>257</v>
      </c>
      <c r="K567" s="90" t="s">
        <v>451</v>
      </c>
      <c r="L567" t="s">
        <v>107</v>
      </c>
    </row>
    <row r="568" spans="1:12" x14ac:dyDescent="0.25">
      <c r="A568" t="s">
        <v>257</v>
      </c>
      <c r="B568" t="s">
        <v>467</v>
      </c>
      <c r="C568" s="138" t="s">
        <v>172</v>
      </c>
      <c r="D568" t="s">
        <v>173</v>
      </c>
      <c r="E568" t="s">
        <v>359</v>
      </c>
      <c r="F568">
        <v>0</v>
      </c>
      <c r="G568">
        <v>5650</v>
      </c>
      <c r="H568">
        <v>891.12</v>
      </c>
      <c r="I568" s="90">
        <v>6541.12</v>
      </c>
      <c r="J568" s="90" t="s">
        <v>257</v>
      </c>
      <c r="K568" s="90" t="s">
        <v>451</v>
      </c>
      <c r="L568" t="s">
        <v>107</v>
      </c>
    </row>
    <row r="569" spans="1:12" x14ac:dyDescent="0.25">
      <c r="A569" t="s">
        <v>257</v>
      </c>
      <c r="B569" t="s">
        <v>307</v>
      </c>
      <c r="C569" s="138" t="s">
        <v>225</v>
      </c>
      <c r="D569" t="s">
        <v>226</v>
      </c>
      <c r="E569" t="s">
        <v>359</v>
      </c>
      <c r="F569">
        <v>0</v>
      </c>
      <c r="G569">
        <v>5200</v>
      </c>
      <c r="H569">
        <v>1297.8799999999999</v>
      </c>
      <c r="I569" s="90">
        <v>6497.88</v>
      </c>
      <c r="J569" s="90" t="s">
        <v>257</v>
      </c>
      <c r="K569" s="90" t="s">
        <v>451</v>
      </c>
      <c r="L569" t="s">
        <v>129</v>
      </c>
    </row>
    <row r="570" spans="1:12" x14ac:dyDescent="0.25">
      <c r="A570" t="s">
        <v>257</v>
      </c>
      <c r="B570" t="s">
        <v>307</v>
      </c>
      <c r="C570" s="138" t="s">
        <v>225</v>
      </c>
      <c r="D570" t="s">
        <v>226</v>
      </c>
      <c r="E570" t="s">
        <v>359</v>
      </c>
      <c r="F570">
        <v>0</v>
      </c>
      <c r="G570">
        <v>5200</v>
      </c>
      <c r="H570">
        <v>1297.8799999999999</v>
      </c>
      <c r="I570" s="90">
        <v>6497.88</v>
      </c>
      <c r="J570" s="90" t="s">
        <v>257</v>
      </c>
      <c r="K570" s="90" t="s">
        <v>451</v>
      </c>
      <c r="L570" t="s">
        <v>129</v>
      </c>
    </row>
    <row r="571" spans="1:12" x14ac:dyDescent="0.25">
      <c r="A571" t="s">
        <v>257</v>
      </c>
      <c r="B571" t="s">
        <v>307</v>
      </c>
      <c r="C571" s="138" t="s">
        <v>225</v>
      </c>
      <c r="D571" t="s">
        <v>226</v>
      </c>
      <c r="E571" t="s">
        <v>359</v>
      </c>
      <c r="F571">
        <v>0</v>
      </c>
      <c r="G571">
        <v>5200</v>
      </c>
      <c r="H571">
        <v>1297.8799999999999</v>
      </c>
      <c r="I571" s="90">
        <v>6497.88</v>
      </c>
      <c r="J571" s="90" t="s">
        <v>257</v>
      </c>
      <c r="K571" s="90" t="s">
        <v>451</v>
      </c>
      <c r="L571" t="s">
        <v>129</v>
      </c>
    </row>
    <row r="572" spans="1:12" x14ac:dyDescent="0.25">
      <c r="A572" t="s">
        <v>257</v>
      </c>
      <c r="B572" t="s">
        <v>307</v>
      </c>
      <c r="C572" s="138" t="s">
        <v>225</v>
      </c>
      <c r="D572" t="s">
        <v>226</v>
      </c>
      <c r="E572" t="s">
        <v>359</v>
      </c>
      <c r="F572">
        <v>0</v>
      </c>
      <c r="G572">
        <v>5200</v>
      </c>
      <c r="H572">
        <v>1297.8799999999999</v>
      </c>
      <c r="I572" s="90">
        <v>6497.88</v>
      </c>
      <c r="J572" s="90" t="s">
        <v>257</v>
      </c>
      <c r="K572" s="90" t="s">
        <v>451</v>
      </c>
      <c r="L572" t="s">
        <v>129</v>
      </c>
    </row>
    <row r="573" spans="1:12" x14ac:dyDescent="0.25">
      <c r="A573" t="s">
        <v>257</v>
      </c>
      <c r="B573" t="s">
        <v>306</v>
      </c>
      <c r="C573" s="138" t="s">
        <v>235</v>
      </c>
      <c r="D573" t="s">
        <v>122</v>
      </c>
      <c r="E573" t="s">
        <v>359</v>
      </c>
      <c r="F573">
        <v>0</v>
      </c>
      <c r="G573">
        <v>900</v>
      </c>
      <c r="H573">
        <v>3114.6099999999997</v>
      </c>
      <c r="I573" s="90">
        <v>4014.6099999999997</v>
      </c>
      <c r="J573" s="90" t="s">
        <v>257</v>
      </c>
      <c r="K573" s="90" t="s">
        <v>451</v>
      </c>
      <c r="L573" t="s">
        <v>107</v>
      </c>
    </row>
    <row r="574" spans="1:12" x14ac:dyDescent="0.25">
      <c r="A574" t="s">
        <v>257</v>
      </c>
      <c r="B574" t="s">
        <v>306</v>
      </c>
      <c r="C574" s="138" t="s">
        <v>235</v>
      </c>
      <c r="D574" t="s">
        <v>122</v>
      </c>
      <c r="E574" t="s">
        <v>359</v>
      </c>
      <c r="F574">
        <v>0</v>
      </c>
      <c r="G574">
        <v>900</v>
      </c>
      <c r="H574">
        <v>3114.6099999999997</v>
      </c>
      <c r="I574" s="90">
        <v>4014.6099999999997</v>
      </c>
      <c r="J574" s="90" t="s">
        <v>257</v>
      </c>
      <c r="K574" s="90" t="s">
        <v>451</v>
      </c>
      <c r="L574" t="s">
        <v>107</v>
      </c>
    </row>
    <row r="575" spans="1:12" x14ac:dyDescent="0.25">
      <c r="A575" t="s">
        <v>257</v>
      </c>
      <c r="B575" t="s">
        <v>306</v>
      </c>
      <c r="C575" s="138" t="s">
        <v>235</v>
      </c>
      <c r="D575" t="s">
        <v>122</v>
      </c>
      <c r="E575" t="s">
        <v>359</v>
      </c>
      <c r="F575">
        <v>0</v>
      </c>
      <c r="G575">
        <v>900</v>
      </c>
      <c r="H575">
        <v>3114.6099999999997</v>
      </c>
      <c r="I575" s="90">
        <v>4014.6099999999997</v>
      </c>
      <c r="J575" s="90" t="s">
        <v>257</v>
      </c>
      <c r="K575" s="90" t="s">
        <v>451</v>
      </c>
      <c r="L575" t="s">
        <v>107</v>
      </c>
    </row>
    <row r="576" spans="1:12" x14ac:dyDescent="0.25">
      <c r="A576" t="s">
        <v>257</v>
      </c>
      <c r="B576" t="s">
        <v>306</v>
      </c>
      <c r="C576" s="138" t="s">
        <v>235</v>
      </c>
      <c r="D576" t="s">
        <v>122</v>
      </c>
      <c r="E576" t="s">
        <v>359</v>
      </c>
      <c r="F576">
        <v>0</v>
      </c>
      <c r="G576">
        <v>900</v>
      </c>
      <c r="H576">
        <v>3114.6099999999997</v>
      </c>
      <c r="I576" s="90">
        <v>4014.6099999999997</v>
      </c>
      <c r="J576" s="90" t="s">
        <v>257</v>
      </c>
      <c r="K576" s="90" t="s">
        <v>451</v>
      </c>
      <c r="L576" t="s">
        <v>107</v>
      </c>
    </row>
    <row r="577" spans="1:12" x14ac:dyDescent="0.25">
      <c r="A577" t="s">
        <v>257</v>
      </c>
      <c r="B577" t="s">
        <v>320</v>
      </c>
      <c r="C577" s="138" t="s">
        <v>203</v>
      </c>
      <c r="D577" t="s">
        <v>148</v>
      </c>
      <c r="E577" t="s">
        <v>359</v>
      </c>
      <c r="F577">
        <v>0</v>
      </c>
      <c r="G577">
        <v>5500</v>
      </c>
      <c r="H577">
        <v>993.7</v>
      </c>
      <c r="I577" s="90">
        <v>6493.7</v>
      </c>
      <c r="J577" s="90" t="s">
        <v>257</v>
      </c>
      <c r="K577" s="90" t="s">
        <v>451</v>
      </c>
      <c r="L577" t="s">
        <v>129</v>
      </c>
    </row>
    <row r="578" spans="1:12" x14ac:dyDescent="0.25">
      <c r="A578" t="s">
        <v>257</v>
      </c>
      <c r="B578" t="s">
        <v>320</v>
      </c>
      <c r="C578" s="138" t="s">
        <v>203</v>
      </c>
      <c r="D578" t="s">
        <v>148</v>
      </c>
      <c r="E578" t="s">
        <v>359</v>
      </c>
      <c r="F578">
        <v>0</v>
      </c>
      <c r="G578">
        <v>5500</v>
      </c>
      <c r="H578">
        <v>993.7</v>
      </c>
      <c r="I578" s="90">
        <v>6493.7</v>
      </c>
      <c r="J578" s="90" t="s">
        <v>257</v>
      </c>
      <c r="K578" s="90" t="s">
        <v>451</v>
      </c>
      <c r="L578" t="s">
        <v>129</v>
      </c>
    </row>
    <row r="579" spans="1:12" x14ac:dyDescent="0.25">
      <c r="A579" t="s">
        <v>257</v>
      </c>
      <c r="B579" t="s">
        <v>320</v>
      </c>
      <c r="C579" s="138" t="s">
        <v>203</v>
      </c>
      <c r="D579" t="s">
        <v>148</v>
      </c>
      <c r="E579" t="s">
        <v>359</v>
      </c>
      <c r="F579">
        <v>0</v>
      </c>
      <c r="G579">
        <v>5500</v>
      </c>
      <c r="H579">
        <v>993.7</v>
      </c>
      <c r="I579" s="90">
        <v>6493.7</v>
      </c>
      <c r="J579" s="90" t="s">
        <v>257</v>
      </c>
      <c r="K579" s="90" t="s">
        <v>451</v>
      </c>
      <c r="L579" t="s">
        <v>129</v>
      </c>
    </row>
    <row r="580" spans="1:12" x14ac:dyDescent="0.25">
      <c r="A580" t="s">
        <v>257</v>
      </c>
      <c r="B580" t="s">
        <v>320</v>
      </c>
      <c r="C580" s="138" t="s">
        <v>203</v>
      </c>
      <c r="D580" t="s">
        <v>148</v>
      </c>
      <c r="E580" t="s">
        <v>359</v>
      </c>
      <c r="F580">
        <v>0</v>
      </c>
      <c r="G580">
        <v>5500</v>
      </c>
      <c r="H580">
        <v>993.7</v>
      </c>
      <c r="I580" s="90">
        <v>6493.7</v>
      </c>
      <c r="J580" s="90" t="s">
        <v>257</v>
      </c>
      <c r="K580" s="90" t="s">
        <v>451</v>
      </c>
      <c r="L580" t="s">
        <v>129</v>
      </c>
    </row>
    <row r="581" spans="1:12" x14ac:dyDescent="0.25">
      <c r="A581" t="s">
        <v>257</v>
      </c>
      <c r="B581" t="s">
        <v>468</v>
      </c>
      <c r="C581" s="138" t="s">
        <v>384</v>
      </c>
      <c r="D581" t="s">
        <v>385</v>
      </c>
      <c r="E581" t="s">
        <v>377</v>
      </c>
      <c r="F581">
        <v>0</v>
      </c>
      <c r="G581">
        <v>5000</v>
      </c>
      <c r="H581">
        <v>2573.46</v>
      </c>
      <c r="I581" s="90">
        <v>7573.46</v>
      </c>
      <c r="J581" s="90" t="s">
        <v>257</v>
      </c>
      <c r="K581" s="90" t="s">
        <v>451</v>
      </c>
      <c r="L581" t="s">
        <v>125</v>
      </c>
    </row>
    <row r="582" spans="1:12" x14ac:dyDescent="0.25">
      <c r="A582" t="s">
        <v>257</v>
      </c>
      <c r="B582" t="s">
        <v>468</v>
      </c>
      <c r="C582" s="138" t="s">
        <v>149</v>
      </c>
      <c r="D582" t="s">
        <v>150</v>
      </c>
      <c r="E582" t="s">
        <v>377</v>
      </c>
      <c r="F582">
        <v>0</v>
      </c>
      <c r="G582">
        <v>3535</v>
      </c>
      <c r="H582">
        <v>195.74</v>
      </c>
      <c r="I582" s="90">
        <v>3730.74</v>
      </c>
      <c r="J582" s="90" t="s">
        <v>257</v>
      </c>
      <c r="K582" s="90" t="s">
        <v>451</v>
      </c>
      <c r="L582" t="s">
        <v>107</v>
      </c>
    </row>
    <row r="583" spans="1:12" x14ac:dyDescent="0.25">
      <c r="A583" t="s">
        <v>257</v>
      </c>
      <c r="B583" t="s">
        <v>468</v>
      </c>
      <c r="C583" s="138" t="s">
        <v>384</v>
      </c>
      <c r="D583" t="s">
        <v>385</v>
      </c>
      <c r="E583" t="s">
        <v>377</v>
      </c>
      <c r="F583">
        <v>0</v>
      </c>
      <c r="G583">
        <v>5000</v>
      </c>
      <c r="H583">
        <v>2573.46</v>
      </c>
      <c r="I583" s="90">
        <v>7573.46</v>
      </c>
      <c r="J583" s="90" t="s">
        <v>257</v>
      </c>
      <c r="K583" s="90" t="s">
        <v>451</v>
      </c>
      <c r="L583" t="s">
        <v>125</v>
      </c>
    </row>
    <row r="584" spans="1:12" x14ac:dyDescent="0.25">
      <c r="A584" t="s">
        <v>257</v>
      </c>
      <c r="B584" t="s">
        <v>468</v>
      </c>
      <c r="C584" s="138" t="s">
        <v>384</v>
      </c>
      <c r="D584" t="s">
        <v>385</v>
      </c>
      <c r="E584" t="s">
        <v>377</v>
      </c>
      <c r="F584">
        <v>0</v>
      </c>
      <c r="G584">
        <v>5000</v>
      </c>
      <c r="H584">
        <v>2573.46</v>
      </c>
      <c r="I584" s="90">
        <v>7573.46</v>
      </c>
      <c r="J584" s="90" t="s">
        <v>257</v>
      </c>
      <c r="K584" s="90" t="s">
        <v>451</v>
      </c>
      <c r="L584" t="s">
        <v>125</v>
      </c>
    </row>
    <row r="585" spans="1:12" x14ac:dyDescent="0.25">
      <c r="A585" t="s">
        <v>257</v>
      </c>
      <c r="B585" t="s">
        <v>468</v>
      </c>
      <c r="C585" s="138" t="s">
        <v>384</v>
      </c>
      <c r="D585" t="s">
        <v>385</v>
      </c>
      <c r="E585" t="s">
        <v>377</v>
      </c>
      <c r="F585">
        <v>0</v>
      </c>
      <c r="G585">
        <v>5000</v>
      </c>
      <c r="H585">
        <v>2573.46</v>
      </c>
      <c r="I585" s="90">
        <v>7573.46</v>
      </c>
      <c r="J585" s="90" t="s">
        <v>257</v>
      </c>
      <c r="K585" s="90" t="s">
        <v>451</v>
      </c>
      <c r="L585" t="s">
        <v>125</v>
      </c>
    </row>
    <row r="586" spans="1:12" x14ac:dyDescent="0.25">
      <c r="A586" t="s">
        <v>257</v>
      </c>
      <c r="B586" t="s">
        <v>468</v>
      </c>
      <c r="C586" s="138" t="s">
        <v>384</v>
      </c>
      <c r="D586" t="s">
        <v>385</v>
      </c>
      <c r="E586" t="s">
        <v>377</v>
      </c>
      <c r="F586">
        <v>0</v>
      </c>
      <c r="G586">
        <v>5000</v>
      </c>
      <c r="H586">
        <v>2573.46</v>
      </c>
      <c r="I586" s="90">
        <v>7573.46</v>
      </c>
      <c r="J586" s="90" t="s">
        <v>257</v>
      </c>
      <c r="K586" s="90" t="s">
        <v>451</v>
      </c>
      <c r="L586" t="s">
        <v>125</v>
      </c>
    </row>
    <row r="587" spans="1:12" x14ac:dyDescent="0.25">
      <c r="A587" t="s">
        <v>257</v>
      </c>
      <c r="B587" t="s">
        <v>260</v>
      </c>
      <c r="C587" s="138" t="s">
        <v>383</v>
      </c>
      <c r="D587" t="s">
        <v>156</v>
      </c>
      <c r="E587" t="s">
        <v>377</v>
      </c>
      <c r="F587">
        <v>0</v>
      </c>
      <c r="G587">
        <v>4000</v>
      </c>
      <c r="H587">
        <v>528.8000000000001</v>
      </c>
      <c r="I587" s="90">
        <v>4528.8</v>
      </c>
      <c r="J587" s="90" t="s">
        <v>257</v>
      </c>
      <c r="K587" s="90" t="s">
        <v>451</v>
      </c>
      <c r="L587" t="s">
        <v>129</v>
      </c>
    </row>
    <row r="588" spans="1:12" x14ac:dyDescent="0.25">
      <c r="A588" t="s">
        <v>257</v>
      </c>
      <c r="B588" t="s">
        <v>260</v>
      </c>
      <c r="C588" s="138" t="s">
        <v>187</v>
      </c>
      <c r="D588" t="s">
        <v>119</v>
      </c>
      <c r="E588" t="s">
        <v>359</v>
      </c>
      <c r="F588">
        <v>0</v>
      </c>
      <c r="G588">
        <v>1200</v>
      </c>
      <c r="H588">
        <v>1650.71</v>
      </c>
      <c r="I588" s="90">
        <v>2850.71</v>
      </c>
      <c r="J588" s="90" t="s">
        <v>257</v>
      </c>
      <c r="K588" s="90" t="s">
        <v>451</v>
      </c>
      <c r="L588" t="s">
        <v>106</v>
      </c>
    </row>
    <row r="589" spans="1:12" x14ac:dyDescent="0.25">
      <c r="A589" t="s">
        <v>257</v>
      </c>
      <c r="B589" t="s">
        <v>260</v>
      </c>
      <c r="C589" s="138" t="s">
        <v>187</v>
      </c>
      <c r="D589" t="s">
        <v>119</v>
      </c>
      <c r="E589" t="s">
        <v>359</v>
      </c>
      <c r="F589">
        <v>0</v>
      </c>
      <c r="G589">
        <v>1200</v>
      </c>
      <c r="H589">
        <v>1650.71</v>
      </c>
      <c r="I589" s="90">
        <v>2850.71</v>
      </c>
      <c r="J589" s="90" t="s">
        <v>257</v>
      </c>
      <c r="K589" s="90" t="s">
        <v>451</v>
      </c>
      <c r="L589" t="s">
        <v>106</v>
      </c>
    </row>
    <row r="590" spans="1:12" x14ac:dyDescent="0.25">
      <c r="A590" t="s">
        <v>257</v>
      </c>
      <c r="B590" t="s">
        <v>260</v>
      </c>
      <c r="C590" s="138" t="s">
        <v>187</v>
      </c>
      <c r="D590" t="s">
        <v>119</v>
      </c>
      <c r="E590" t="s">
        <v>359</v>
      </c>
      <c r="F590">
        <v>0</v>
      </c>
      <c r="G590">
        <v>1200</v>
      </c>
      <c r="H590">
        <v>1650.71</v>
      </c>
      <c r="I590" s="90">
        <v>2850.71</v>
      </c>
      <c r="J590" s="90" t="s">
        <v>257</v>
      </c>
      <c r="K590" s="90" t="s">
        <v>451</v>
      </c>
      <c r="L590" t="s">
        <v>106</v>
      </c>
    </row>
    <row r="591" spans="1:12" x14ac:dyDescent="0.25">
      <c r="A591" t="s">
        <v>257</v>
      </c>
      <c r="B591" t="s">
        <v>469</v>
      </c>
      <c r="C591" s="138" t="s">
        <v>167</v>
      </c>
      <c r="D591" t="s">
        <v>168</v>
      </c>
      <c r="E591" t="s">
        <v>377</v>
      </c>
      <c r="F591">
        <v>0</v>
      </c>
      <c r="G591">
        <v>5000</v>
      </c>
      <c r="H591">
        <v>1270.6799999999998</v>
      </c>
      <c r="I591" s="90">
        <v>6270.68</v>
      </c>
      <c r="J591" s="90" t="s">
        <v>257</v>
      </c>
      <c r="K591" s="90" t="s">
        <v>451</v>
      </c>
      <c r="L591" t="s">
        <v>129</v>
      </c>
    </row>
    <row r="592" spans="1:12" x14ac:dyDescent="0.25">
      <c r="A592" t="s">
        <v>257</v>
      </c>
      <c r="B592" t="s">
        <v>469</v>
      </c>
      <c r="C592" s="138" t="s">
        <v>167</v>
      </c>
      <c r="D592" t="s">
        <v>168</v>
      </c>
      <c r="E592" t="s">
        <v>377</v>
      </c>
      <c r="F592">
        <v>0</v>
      </c>
      <c r="G592">
        <v>5000</v>
      </c>
      <c r="H592">
        <v>1270.6799999999998</v>
      </c>
      <c r="I592" s="90">
        <v>6270.68</v>
      </c>
      <c r="J592" s="90" t="s">
        <v>257</v>
      </c>
      <c r="K592" s="90" t="s">
        <v>451</v>
      </c>
      <c r="L592" t="s">
        <v>129</v>
      </c>
    </row>
    <row r="593" spans="1:12" x14ac:dyDescent="0.25">
      <c r="A593" t="s">
        <v>257</v>
      </c>
      <c r="B593" t="s">
        <v>470</v>
      </c>
      <c r="C593" s="138" t="s">
        <v>382</v>
      </c>
      <c r="D593" t="s">
        <v>49</v>
      </c>
      <c r="E593" t="s">
        <v>359</v>
      </c>
      <c r="F593">
        <v>0</v>
      </c>
      <c r="G593">
        <v>5750</v>
      </c>
      <c r="H593">
        <v>897.9000000000001</v>
      </c>
      <c r="I593" s="90">
        <v>6647.9</v>
      </c>
      <c r="J593" s="90" t="s">
        <v>257</v>
      </c>
      <c r="K593" s="90" t="s">
        <v>451</v>
      </c>
      <c r="L593" t="s">
        <v>125</v>
      </c>
    </row>
    <row r="594" spans="1:12" x14ac:dyDescent="0.25">
      <c r="A594" t="s">
        <v>257</v>
      </c>
      <c r="B594" t="s">
        <v>332</v>
      </c>
      <c r="C594" s="138" t="s">
        <v>198</v>
      </c>
      <c r="D594" t="s">
        <v>199</v>
      </c>
      <c r="E594" t="s">
        <v>377</v>
      </c>
      <c r="F594">
        <v>0</v>
      </c>
      <c r="G594">
        <v>4050</v>
      </c>
      <c r="H594">
        <v>346.8</v>
      </c>
      <c r="I594" s="90">
        <v>4396.8</v>
      </c>
      <c r="J594" s="90" t="s">
        <v>257</v>
      </c>
      <c r="K594" s="90" t="s">
        <v>451</v>
      </c>
      <c r="L594" t="s">
        <v>110</v>
      </c>
    </row>
    <row r="595" spans="1:12" x14ac:dyDescent="0.25">
      <c r="A595" t="s">
        <v>257</v>
      </c>
      <c r="B595" t="s">
        <v>332</v>
      </c>
      <c r="C595" s="138" t="s">
        <v>198</v>
      </c>
      <c r="D595" t="s">
        <v>199</v>
      </c>
      <c r="E595" t="s">
        <v>377</v>
      </c>
      <c r="F595">
        <v>0</v>
      </c>
      <c r="G595">
        <v>4050</v>
      </c>
      <c r="H595">
        <v>592.52</v>
      </c>
      <c r="I595" s="90">
        <v>4642.52</v>
      </c>
      <c r="J595" s="90" t="s">
        <v>257</v>
      </c>
      <c r="K595" s="90" t="s">
        <v>451</v>
      </c>
      <c r="L595" t="s">
        <v>110</v>
      </c>
    </row>
    <row r="596" spans="1:12" x14ac:dyDescent="0.25">
      <c r="A596" t="s">
        <v>257</v>
      </c>
      <c r="B596" t="s">
        <v>332</v>
      </c>
      <c r="C596" s="138" t="s">
        <v>198</v>
      </c>
      <c r="D596" t="s">
        <v>199</v>
      </c>
      <c r="E596" t="s">
        <v>377</v>
      </c>
      <c r="F596">
        <v>0</v>
      </c>
      <c r="G596">
        <v>4050</v>
      </c>
      <c r="H596">
        <v>592.52</v>
      </c>
      <c r="I596" s="90">
        <v>4642.52</v>
      </c>
      <c r="J596" s="90" t="s">
        <v>257</v>
      </c>
      <c r="K596" s="90" t="s">
        <v>451</v>
      </c>
      <c r="L596" t="s">
        <v>110</v>
      </c>
    </row>
    <row r="597" spans="1:12" x14ac:dyDescent="0.25">
      <c r="A597" t="s">
        <v>257</v>
      </c>
      <c r="B597" t="s">
        <v>275</v>
      </c>
      <c r="C597" s="138" t="s">
        <v>147</v>
      </c>
      <c r="D597" t="s">
        <v>148</v>
      </c>
      <c r="E597" t="s">
        <v>350</v>
      </c>
      <c r="F597">
        <v>800</v>
      </c>
      <c r="G597">
        <v>0</v>
      </c>
      <c r="H597">
        <v>8</v>
      </c>
      <c r="I597" s="90">
        <v>0</v>
      </c>
      <c r="J597" s="90" t="s">
        <v>257</v>
      </c>
      <c r="K597" s="90" t="s">
        <v>451</v>
      </c>
      <c r="L597" t="s">
        <v>257</v>
      </c>
    </row>
    <row r="598" spans="1:12" x14ac:dyDescent="0.25">
      <c r="A598" t="s">
        <v>257</v>
      </c>
      <c r="B598" t="s">
        <v>275</v>
      </c>
      <c r="C598" s="138" t="s">
        <v>147</v>
      </c>
      <c r="D598" t="s">
        <v>148</v>
      </c>
      <c r="E598" t="s">
        <v>350</v>
      </c>
      <c r="F598">
        <v>800</v>
      </c>
      <c r="G598">
        <v>0</v>
      </c>
      <c r="H598">
        <v>8</v>
      </c>
      <c r="I598" s="90">
        <v>808</v>
      </c>
      <c r="J598" s="90" t="s">
        <v>257</v>
      </c>
      <c r="K598" s="90" t="s">
        <v>451</v>
      </c>
      <c r="L598" t="s">
        <v>107</v>
      </c>
    </row>
    <row r="599" spans="1:12" x14ac:dyDescent="0.25">
      <c r="A599" t="s">
        <v>257</v>
      </c>
      <c r="B599" t="s">
        <v>276</v>
      </c>
      <c r="C599" s="138" t="s">
        <v>145</v>
      </c>
      <c r="D599" t="s">
        <v>381</v>
      </c>
      <c r="E599" t="s">
        <v>257</v>
      </c>
      <c r="F599">
        <v>0</v>
      </c>
      <c r="G599">
        <v>3900</v>
      </c>
      <c r="H599">
        <v>499.21</v>
      </c>
      <c r="I599" s="90">
        <v>4399.21</v>
      </c>
      <c r="J599" s="90" t="s">
        <v>257</v>
      </c>
      <c r="K599" s="90" t="s">
        <v>451</v>
      </c>
      <c r="L599" t="s">
        <v>129</v>
      </c>
    </row>
    <row r="600" spans="1:12" x14ac:dyDescent="0.25">
      <c r="A600" t="s">
        <v>257</v>
      </c>
      <c r="B600" t="s">
        <v>276</v>
      </c>
      <c r="C600" s="138" t="s">
        <v>145</v>
      </c>
      <c r="D600" t="s">
        <v>146</v>
      </c>
      <c r="E600" t="s">
        <v>359</v>
      </c>
      <c r="F600">
        <v>0</v>
      </c>
      <c r="G600">
        <v>3900</v>
      </c>
      <c r="H600">
        <v>499.21</v>
      </c>
      <c r="I600" s="90">
        <v>4399.21</v>
      </c>
      <c r="J600" s="90" t="s">
        <v>257</v>
      </c>
      <c r="K600" s="90" t="s">
        <v>451</v>
      </c>
      <c r="L600" t="s">
        <v>129</v>
      </c>
    </row>
    <row r="601" spans="1:12" x14ac:dyDescent="0.25">
      <c r="A601" t="s">
        <v>257</v>
      </c>
      <c r="B601" t="s">
        <v>262</v>
      </c>
      <c r="C601" s="138" t="s">
        <v>185</v>
      </c>
      <c r="D601" t="s">
        <v>186</v>
      </c>
      <c r="E601" t="s">
        <v>359</v>
      </c>
      <c r="F601">
        <v>0</v>
      </c>
      <c r="G601">
        <v>4650</v>
      </c>
      <c r="H601">
        <v>1082.32</v>
      </c>
      <c r="I601" s="90">
        <v>5732.32</v>
      </c>
      <c r="J601" s="90" t="s">
        <v>257</v>
      </c>
      <c r="K601" s="90" t="s">
        <v>451</v>
      </c>
      <c r="L601" t="s">
        <v>113</v>
      </c>
    </row>
    <row r="602" spans="1:12" x14ac:dyDescent="0.25">
      <c r="A602" t="s">
        <v>257</v>
      </c>
      <c r="B602" t="s">
        <v>262</v>
      </c>
      <c r="C602" s="138" t="s">
        <v>238</v>
      </c>
      <c r="D602" t="s">
        <v>239</v>
      </c>
      <c r="E602" t="s">
        <v>359</v>
      </c>
      <c r="F602">
        <v>0</v>
      </c>
      <c r="G602">
        <v>3200</v>
      </c>
      <c r="H602">
        <v>1701.89</v>
      </c>
      <c r="I602" s="90">
        <v>4901.89</v>
      </c>
      <c r="J602" s="90" t="s">
        <v>257</v>
      </c>
      <c r="K602" s="90" t="s">
        <v>451</v>
      </c>
      <c r="L602" t="s">
        <v>107</v>
      </c>
    </row>
    <row r="603" spans="1:12" x14ac:dyDescent="0.25">
      <c r="A603" t="s">
        <v>257</v>
      </c>
      <c r="B603" t="s">
        <v>262</v>
      </c>
      <c r="C603" s="138" t="s">
        <v>185</v>
      </c>
      <c r="D603" t="s">
        <v>186</v>
      </c>
      <c r="E603" t="s">
        <v>359</v>
      </c>
      <c r="F603">
        <v>0</v>
      </c>
      <c r="G603">
        <v>4650</v>
      </c>
      <c r="H603">
        <v>1082.32</v>
      </c>
      <c r="I603" s="90">
        <v>5732.32</v>
      </c>
      <c r="J603" s="90" t="s">
        <v>257</v>
      </c>
      <c r="K603" s="90" t="s">
        <v>451</v>
      </c>
      <c r="L603" t="s">
        <v>113</v>
      </c>
    </row>
    <row r="604" spans="1:12" x14ac:dyDescent="0.25">
      <c r="A604" t="s">
        <v>257</v>
      </c>
      <c r="B604" t="s">
        <v>262</v>
      </c>
      <c r="C604" s="138" t="s">
        <v>238</v>
      </c>
      <c r="D604" t="s">
        <v>239</v>
      </c>
      <c r="E604" t="s">
        <v>359</v>
      </c>
      <c r="F604">
        <v>0</v>
      </c>
      <c r="G604">
        <v>3200</v>
      </c>
      <c r="H604">
        <v>1701.89</v>
      </c>
      <c r="I604" s="90">
        <v>4901.89</v>
      </c>
      <c r="J604" s="90" t="s">
        <v>257</v>
      </c>
      <c r="K604" s="90" t="s">
        <v>451</v>
      </c>
      <c r="L604" t="s">
        <v>107</v>
      </c>
    </row>
    <row r="605" spans="1:12" x14ac:dyDescent="0.25">
      <c r="A605" t="s">
        <v>257</v>
      </c>
      <c r="B605" t="s">
        <v>262</v>
      </c>
      <c r="C605" s="138" t="s">
        <v>185</v>
      </c>
      <c r="D605" t="s">
        <v>186</v>
      </c>
      <c r="E605" t="s">
        <v>359</v>
      </c>
      <c r="F605">
        <v>0</v>
      </c>
      <c r="G605">
        <v>4650</v>
      </c>
      <c r="H605">
        <v>1082.32</v>
      </c>
      <c r="I605" s="90">
        <v>5732.32</v>
      </c>
      <c r="J605" s="90" t="s">
        <v>257</v>
      </c>
      <c r="K605" s="90" t="s">
        <v>451</v>
      </c>
      <c r="L605" t="s">
        <v>113</v>
      </c>
    </row>
    <row r="606" spans="1:12" x14ac:dyDescent="0.25">
      <c r="A606" t="s">
        <v>257</v>
      </c>
      <c r="B606" t="s">
        <v>262</v>
      </c>
      <c r="C606" s="138" t="s">
        <v>238</v>
      </c>
      <c r="D606" t="s">
        <v>239</v>
      </c>
      <c r="E606" t="s">
        <v>359</v>
      </c>
      <c r="F606">
        <v>0</v>
      </c>
      <c r="G606">
        <v>3200</v>
      </c>
      <c r="H606">
        <v>1701.89</v>
      </c>
      <c r="I606" s="90">
        <v>4901.89</v>
      </c>
      <c r="J606" s="90" t="s">
        <v>257</v>
      </c>
      <c r="K606" s="90" t="s">
        <v>451</v>
      </c>
      <c r="L606" t="s">
        <v>107</v>
      </c>
    </row>
    <row r="607" spans="1:12" x14ac:dyDescent="0.25">
      <c r="A607" t="s">
        <v>257</v>
      </c>
      <c r="B607" t="s">
        <v>262</v>
      </c>
      <c r="C607" s="138" t="s">
        <v>185</v>
      </c>
      <c r="D607" t="s">
        <v>186</v>
      </c>
      <c r="E607" t="s">
        <v>359</v>
      </c>
      <c r="F607">
        <v>0</v>
      </c>
      <c r="G607">
        <v>4650</v>
      </c>
      <c r="H607">
        <v>1082.32</v>
      </c>
      <c r="I607" s="90">
        <v>5732.32</v>
      </c>
      <c r="J607" s="90" t="s">
        <v>257</v>
      </c>
      <c r="K607" s="90" t="s">
        <v>451</v>
      </c>
      <c r="L607" t="s">
        <v>113</v>
      </c>
    </row>
    <row r="608" spans="1:12" x14ac:dyDescent="0.25">
      <c r="A608" t="s">
        <v>257</v>
      </c>
      <c r="B608" t="s">
        <v>262</v>
      </c>
      <c r="C608" s="138" t="s">
        <v>238</v>
      </c>
      <c r="D608" t="s">
        <v>239</v>
      </c>
      <c r="E608" t="s">
        <v>359</v>
      </c>
      <c r="F608">
        <v>0</v>
      </c>
      <c r="G608">
        <v>3200</v>
      </c>
      <c r="H608">
        <v>1701.89</v>
      </c>
      <c r="I608" s="90">
        <v>4901.89</v>
      </c>
      <c r="J608" s="90" t="s">
        <v>257</v>
      </c>
      <c r="K608" s="90" t="s">
        <v>451</v>
      </c>
      <c r="L608" t="s">
        <v>107</v>
      </c>
    </row>
    <row r="609" spans="1:12" x14ac:dyDescent="0.25">
      <c r="A609" t="s">
        <v>257</v>
      </c>
      <c r="B609" t="s">
        <v>262</v>
      </c>
      <c r="C609" s="138" t="s">
        <v>238</v>
      </c>
      <c r="D609" t="s">
        <v>239</v>
      </c>
      <c r="E609" t="s">
        <v>359</v>
      </c>
      <c r="F609">
        <v>0</v>
      </c>
      <c r="G609">
        <v>3200</v>
      </c>
      <c r="H609">
        <v>1701.89</v>
      </c>
      <c r="I609" s="90">
        <v>4901.89</v>
      </c>
      <c r="J609" s="90" t="s">
        <v>257</v>
      </c>
      <c r="K609" s="90" t="s">
        <v>451</v>
      </c>
      <c r="L609" t="s">
        <v>107</v>
      </c>
    </row>
    <row r="610" spans="1:12" x14ac:dyDescent="0.25">
      <c r="A610" t="s">
        <v>257</v>
      </c>
      <c r="B610" t="s">
        <v>262</v>
      </c>
      <c r="C610" s="138" t="s">
        <v>238</v>
      </c>
      <c r="D610" t="s">
        <v>239</v>
      </c>
      <c r="E610" t="s">
        <v>359</v>
      </c>
      <c r="F610">
        <v>0</v>
      </c>
      <c r="G610">
        <v>3200</v>
      </c>
      <c r="H610">
        <v>1701.89</v>
      </c>
      <c r="I610" s="90">
        <v>4901.89</v>
      </c>
      <c r="J610" s="90" t="s">
        <v>257</v>
      </c>
      <c r="K610" s="90" t="s">
        <v>451</v>
      </c>
      <c r="L610" t="s">
        <v>107</v>
      </c>
    </row>
    <row r="611" spans="1:12" x14ac:dyDescent="0.25">
      <c r="A611" t="s">
        <v>257</v>
      </c>
      <c r="B611" t="s">
        <v>331</v>
      </c>
      <c r="C611" s="138" t="s">
        <v>133</v>
      </c>
      <c r="D611" t="s">
        <v>134</v>
      </c>
      <c r="E611" t="s">
        <v>377</v>
      </c>
      <c r="F611">
        <v>0</v>
      </c>
      <c r="G611">
        <v>5800</v>
      </c>
      <c r="H611">
        <v>175.85</v>
      </c>
      <c r="I611" s="90">
        <v>5975.85</v>
      </c>
      <c r="J611" s="90" t="s">
        <v>257</v>
      </c>
      <c r="K611" s="90" t="s">
        <v>451</v>
      </c>
      <c r="L611" t="s">
        <v>135</v>
      </c>
    </row>
    <row r="612" spans="1:12" x14ac:dyDescent="0.25">
      <c r="A612" t="s">
        <v>257</v>
      </c>
      <c r="B612" t="s">
        <v>331</v>
      </c>
      <c r="C612" s="138" t="s">
        <v>196</v>
      </c>
      <c r="D612" t="s">
        <v>197</v>
      </c>
      <c r="E612" t="s">
        <v>377</v>
      </c>
      <c r="F612">
        <v>0</v>
      </c>
      <c r="G612">
        <v>2625</v>
      </c>
      <c r="H612">
        <v>543.1366666666668</v>
      </c>
      <c r="I612" s="90">
        <v>3168.1366666666668</v>
      </c>
      <c r="J612" s="90" t="s">
        <v>257</v>
      </c>
      <c r="K612" s="90" t="s">
        <v>451</v>
      </c>
      <c r="L612" t="s">
        <v>110</v>
      </c>
    </row>
    <row r="613" spans="1:12" x14ac:dyDescent="0.25">
      <c r="A613" t="s">
        <v>257</v>
      </c>
      <c r="B613" t="s">
        <v>331</v>
      </c>
      <c r="C613" s="138" t="s">
        <v>152</v>
      </c>
      <c r="D613" t="s">
        <v>380</v>
      </c>
      <c r="E613" t="s">
        <v>377</v>
      </c>
      <c r="F613">
        <v>0</v>
      </c>
      <c r="G613">
        <v>2100</v>
      </c>
      <c r="H613">
        <v>471.2166666666667</v>
      </c>
      <c r="I613" s="90">
        <v>2571.2166666666667</v>
      </c>
      <c r="J613" s="90" t="s">
        <v>257</v>
      </c>
      <c r="K613" s="90" t="s">
        <v>451</v>
      </c>
      <c r="L613" t="s">
        <v>107</v>
      </c>
    </row>
    <row r="614" spans="1:12" x14ac:dyDescent="0.25">
      <c r="A614" t="s">
        <v>257</v>
      </c>
      <c r="B614" t="s">
        <v>331</v>
      </c>
      <c r="C614" s="138" t="s">
        <v>152</v>
      </c>
      <c r="D614" t="s">
        <v>380</v>
      </c>
      <c r="E614" t="s">
        <v>377</v>
      </c>
      <c r="F614">
        <v>0</v>
      </c>
      <c r="G614">
        <v>2100</v>
      </c>
      <c r="H614">
        <v>471.2166666666667</v>
      </c>
      <c r="I614" s="90">
        <v>2571.2166666666667</v>
      </c>
      <c r="J614" s="90" t="s">
        <v>257</v>
      </c>
      <c r="K614" s="90" t="s">
        <v>451</v>
      </c>
      <c r="L614" t="s">
        <v>107</v>
      </c>
    </row>
    <row r="615" spans="1:12" x14ac:dyDescent="0.25">
      <c r="A615" t="s">
        <v>257</v>
      </c>
      <c r="B615" t="s">
        <v>331</v>
      </c>
      <c r="C615" s="138" t="s">
        <v>196</v>
      </c>
      <c r="D615" t="s">
        <v>197</v>
      </c>
      <c r="E615" t="s">
        <v>377</v>
      </c>
      <c r="F615">
        <v>0</v>
      </c>
      <c r="G615">
        <v>2625</v>
      </c>
      <c r="H615">
        <v>543.1366666666668</v>
      </c>
      <c r="I615" s="90">
        <v>3168.1366666666668</v>
      </c>
      <c r="J615" s="90" t="s">
        <v>257</v>
      </c>
      <c r="K615" s="90" t="s">
        <v>451</v>
      </c>
      <c r="L615" t="s">
        <v>110</v>
      </c>
    </row>
    <row r="616" spans="1:12" x14ac:dyDescent="0.25">
      <c r="A616" t="s">
        <v>257</v>
      </c>
      <c r="B616" t="s">
        <v>331</v>
      </c>
      <c r="C616" s="138" t="s">
        <v>196</v>
      </c>
      <c r="D616" t="s">
        <v>197</v>
      </c>
      <c r="E616" t="s">
        <v>377</v>
      </c>
      <c r="F616">
        <v>0</v>
      </c>
      <c r="G616">
        <v>2625</v>
      </c>
      <c r="H616">
        <v>543.1366666666668</v>
      </c>
      <c r="I616" s="90">
        <v>3168.1366666666668</v>
      </c>
      <c r="J616" s="90" t="s">
        <v>257</v>
      </c>
      <c r="K616" s="90" t="s">
        <v>451</v>
      </c>
      <c r="L616" t="s">
        <v>110</v>
      </c>
    </row>
    <row r="617" spans="1:12" x14ac:dyDescent="0.25">
      <c r="A617" t="s">
        <v>257</v>
      </c>
      <c r="B617" t="s">
        <v>331</v>
      </c>
      <c r="C617" s="138" t="s">
        <v>196</v>
      </c>
      <c r="D617" t="s">
        <v>197</v>
      </c>
      <c r="E617" t="s">
        <v>377</v>
      </c>
      <c r="F617">
        <v>0</v>
      </c>
      <c r="G617">
        <v>2625</v>
      </c>
      <c r="H617">
        <v>901.9366666666667</v>
      </c>
      <c r="I617" s="90">
        <v>3526.9366666666665</v>
      </c>
      <c r="J617" s="90" t="s">
        <v>257</v>
      </c>
      <c r="K617" s="90" t="s">
        <v>451</v>
      </c>
      <c r="L617" t="s">
        <v>110</v>
      </c>
    </row>
    <row r="618" spans="1:12" x14ac:dyDescent="0.25">
      <c r="A618" t="s">
        <v>257</v>
      </c>
      <c r="B618" t="s">
        <v>278</v>
      </c>
      <c r="C618" s="138" t="s">
        <v>181</v>
      </c>
      <c r="D618" t="s">
        <v>182</v>
      </c>
      <c r="E618" t="s">
        <v>359</v>
      </c>
      <c r="F618">
        <v>0</v>
      </c>
      <c r="G618">
        <v>4000</v>
      </c>
      <c r="H618">
        <v>783.3200000000002</v>
      </c>
      <c r="I618" s="90">
        <v>4783.32</v>
      </c>
      <c r="J618" s="90" t="s">
        <v>257</v>
      </c>
      <c r="K618" s="90" t="s">
        <v>451</v>
      </c>
      <c r="L618" t="s">
        <v>125</v>
      </c>
    </row>
    <row r="619" spans="1:12" x14ac:dyDescent="0.25">
      <c r="A619" t="s">
        <v>257</v>
      </c>
      <c r="B619" t="s">
        <v>278</v>
      </c>
      <c r="C619" s="138" t="s">
        <v>181</v>
      </c>
      <c r="D619" t="s">
        <v>182</v>
      </c>
      <c r="E619" t="s">
        <v>359</v>
      </c>
      <c r="F619">
        <v>0</v>
      </c>
      <c r="G619">
        <v>4000</v>
      </c>
      <c r="H619">
        <v>783.3200000000002</v>
      </c>
      <c r="I619" s="90">
        <v>4783.32</v>
      </c>
      <c r="J619" s="90" t="s">
        <v>257</v>
      </c>
      <c r="K619" s="90" t="s">
        <v>451</v>
      </c>
      <c r="L619" t="s">
        <v>125</v>
      </c>
    </row>
    <row r="620" spans="1:12" x14ac:dyDescent="0.25">
      <c r="A620" t="s">
        <v>257</v>
      </c>
      <c r="B620" t="s">
        <v>278</v>
      </c>
      <c r="C620" s="138" t="s">
        <v>181</v>
      </c>
      <c r="D620" t="s">
        <v>182</v>
      </c>
      <c r="E620" t="s">
        <v>359</v>
      </c>
      <c r="F620">
        <v>0</v>
      </c>
      <c r="G620">
        <v>4000</v>
      </c>
      <c r="H620">
        <v>783.3200000000002</v>
      </c>
      <c r="I620" s="90">
        <v>4783.32</v>
      </c>
      <c r="J620" s="90" t="s">
        <v>257</v>
      </c>
      <c r="K620" s="90" t="s">
        <v>451</v>
      </c>
      <c r="L620" t="s">
        <v>125</v>
      </c>
    </row>
    <row r="621" spans="1:12" x14ac:dyDescent="0.25">
      <c r="A621" t="s">
        <v>257</v>
      </c>
      <c r="B621" t="s">
        <v>279</v>
      </c>
      <c r="C621" s="138" t="s">
        <v>144</v>
      </c>
      <c r="D621" t="s">
        <v>122</v>
      </c>
      <c r="E621" t="s">
        <v>359</v>
      </c>
      <c r="F621">
        <v>0</v>
      </c>
      <c r="G621">
        <v>4000</v>
      </c>
      <c r="H621">
        <v>818.1433333333333</v>
      </c>
      <c r="I621" s="90">
        <v>4818.143333333333</v>
      </c>
      <c r="J621" s="90" t="s">
        <v>257</v>
      </c>
      <c r="K621" s="90" t="s">
        <v>451</v>
      </c>
      <c r="L621" t="s">
        <v>106</v>
      </c>
    </row>
    <row r="622" spans="1:12" x14ac:dyDescent="0.25">
      <c r="A622" t="s">
        <v>257</v>
      </c>
      <c r="B622" t="s">
        <v>279</v>
      </c>
      <c r="C622" s="138" t="s">
        <v>165</v>
      </c>
      <c r="D622" t="s">
        <v>166</v>
      </c>
      <c r="E622" t="s">
        <v>359</v>
      </c>
      <c r="F622">
        <v>0</v>
      </c>
      <c r="G622">
        <v>4000</v>
      </c>
      <c r="H622">
        <v>1602.543333333333</v>
      </c>
      <c r="I622" s="90">
        <v>5602.543333333333</v>
      </c>
      <c r="J622" s="90" t="s">
        <v>257</v>
      </c>
      <c r="K622" s="90" t="s">
        <v>451</v>
      </c>
      <c r="L622" t="s">
        <v>125</v>
      </c>
    </row>
    <row r="623" spans="1:12" x14ac:dyDescent="0.25">
      <c r="A623" t="s">
        <v>257</v>
      </c>
      <c r="B623" t="s">
        <v>279</v>
      </c>
      <c r="C623" s="138" t="s">
        <v>141</v>
      </c>
      <c r="D623" t="s">
        <v>142</v>
      </c>
      <c r="E623" t="s">
        <v>359</v>
      </c>
      <c r="F623">
        <v>0</v>
      </c>
      <c r="G623">
        <v>4750</v>
      </c>
      <c r="H623">
        <v>498.40333333333336</v>
      </c>
      <c r="I623" s="90">
        <v>5248.403333333334</v>
      </c>
      <c r="J623" s="90" t="s">
        <v>257</v>
      </c>
      <c r="K623" s="90" t="s">
        <v>451</v>
      </c>
      <c r="L623" t="s">
        <v>113</v>
      </c>
    </row>
    <row r="624" spans="1:12" x14ac:dyDescent="0.25">
      <c r="A624" t="s">
        <v>257</v>
      </c>
      <c r="B624" t="s">
        <v>279</v>
      </c>
      <c r="C624" s="138" t="s">
        <v>144</v>
      </c>
      <c r="D624" t="s">
        <v>122</v>
      </c>
      <c r="E624" t="s">
        <v>359</v>
      </c>
      <c r="F624">
        <v>0</v>
      </c>
      <c r="G624">
        <v>4000</v>
      </c>
      <c r="H624">
        <v>818.1433333333333</v>
      </c>
      <c r="I624" s="90">
        <v>4818.143333333333</v>
      </c>
      <c r="J624" s="90" t="s">
        <v>257</v>
      </c>
      <c r="K624" s="90" t="s">
        <v>451</v>
      </c>
      <c r="L624" t="s">
        <v>106</v>
      </c>
    </row>
    <row r="625" spans="1:12" x14ac:dyDescent="0.25">
      <c r="A625" t="s">
        <v>257</v>
      </c>
      <c r="B625" t="s">
        <v>279</v>
      </c>
      <c r="C625" s="138" t="s">
        <v>141</v>
      </c>
      <c r="D625" t="s">
        <v>142</v>
      </c>
      <c r="E625" t="s">
        <v>359</v>
      </c>
      <c r="F625">
        <v>0</v>
      </c>
      <c r="G625">
        <v>4750</v>
      </c>
      <c r="H625">
        <v>498.40333333333336</v>
      </c>
      <c r="I625" s="90">
        <v>5248.403333333334</v>
      </c>
      <c r="J625" s="90" t="s">
        <v>257</v>
      </c>
      <c r="K625" s="90" t="s">
        <v>451</v>
      </c>
      <c r="L625" t="s">
        <v>113</v>
      </c>
    </row>
    <row r="626" spans="1:12" x14ac:dyDescent="0.25">
      <c r="A626" t="s">
        <v>257</v>
      </c>
      <c r="B626" t="s">
        <v>279</v>
      </c>
      <c r="C626" s="138" t="s">
        <v>165</v>
      </c>
      <c r="D626" t="s">
        <v>166</v>
      </c>
      <c r="E626" t="s">
        <v>359</v>
      </c>
      <c r="F626">
        <v>0</v>
      </c>
      <c r="G626">
        <v>4000</v>
      </c>
      <c r="H626">
        <v>1602.543333333333</v>
      </c>
      <c r="I626" s="90">
        <v>5602.543333333333</v>
      </c>
      <c r="J626" s="90" t="s">
        <v>257</v>
      </c>
      <c r="K626" s="90" t="s">
        <v>451</v>
      </c>
      <c r="L626" t="s">
        <v>125</v>
      </c>
    </row>
    <row r="627" spans="1:12" x14ac:dyDescent="0.25">
      <c r="A627" t="s">
        <v>257</v>
      </c>
      <c r="B627" t="s">
        <v>279</v>
      </c>
      <c r="C627" s="138" t="s">
        <v>165</v>
      </c>
      <c r="D627" t="s">
        <v>166</v>
      </c>
      <c r="E627" t="s">
        <v>359</v>
      </c>
      <c r="F627">
        <v>0</v>
      </c>
      <c r="G627">
        <v>4000</v>
      </c>
      <c r="H627">
        <v>1602.543333333333</v>
      </c>
      <c r="I627" s="90">
        <v>5602.543333333333</v>
      </c>
      <c r="J627" s="90" t="s">
        <v>257</v>
      </c>
      <c r="K627" s="90" t="s">
        <v>451</v>
      </c>
      <c r="L627" t="s">
        <v>125</v>
      </c>
    </row>
    <row r="628" spans="1:12" x14ac:dyDescent="0.25">
      <c r="A628" t="s">
        <v>257</v>
      </c>
      <c r="B628" t="s">
        <v>471</v>
      </c>
      <c r="C628" s="138" t="s">
        <v>169</v>
      </c>
      <c r="D628" t="s">
        <v>170</v>
      </c>
      <c r="E628" t="s">
        <v>359</v>
      </c>
      <c r="F628">
        <v>0</v>
      </c>
      <c r="G628">
        <v>4350</v>
      </c>
      <c r="H628">
        <v>729.06</v>
      </c>
      <c r="I628" s="90">
        <v>5079.0599999999995</v>
      </c>
      <c r="J628" s="90" t="s">
        <v>257</v>
      </c>
      <c r="K628" s="90" t="s">
        <v>451</v>
      </c>
      <c r="L628" t="s">
        <v>113</v>
      </c>
    </row>
    <row r="629" spans="1:12" x14ac:dyDescent="0.25">
      <c r="A629" t="s">
        <v>257</v>
      </c>
      <c r="B629" t="s">
        <v>471</v>
      </c>
      <c r="C629" s="138" t="s">
        <v>169</v>
      </c>
      <c r="D629" t="s">
        <v>170</v>
      </c>
      <c r="E629" t="s">
        <v>359</v>
      </c>
      <c r="F629">
        <v>0</v>
      </c>
      <c r="G629">
        <v>4350</v>
      </c>
      <c r="H629">
        <v>1144.4599999999998</v>
      </c>
      <c r="I629" s="90">
        <v>5494.46</v>
      </c>
      <c r="J629" s="90" t="s">
        <v>257</v>
      </c>
      <c r="K629" s="90" t="s">
        <v>451</v>
      </c>
      <c r="L629" t="s">
        <v>113</v>
      </c>
    </row>
    <row r="630" spans="1:12" x14ac:dyDescent="0.25">
      <c r="A630" t="s">
        <v>257</v>
      </c>
      <c r="B630" t="s">
        <v>471</v>
      </c>
      <c r="C630" s="138" t="s">
        <v>169</v>
      </c>
      <c r="D630" t="s">
        <v>170</v>
      </c>
      <c r="E630" t="s">
        <v>359</v>
      </c>
      <c r="F630">
        <v>0</v>
      </c>
      <c r="G630">
        <v>4350</v>
      </c>
      <c r="H630">
        <v>1144.4599999999998</v>
      </c>
      <c r="I630" s="90">
        <v>5494.46</v>
      </c>
      <c r="J630" s="90" t="s">
        <v>257</v>
      </c>
      <c r="K630" s="90" t="s">
        <v>451</v>
      </c>
      <c r="L630" t="s">
        <v>113</v>
      </c>
    </row>
    <row r="631" spans="1:12" x14ac:dyDescent="0.25">
      <c r="A631" t="s">
        <v>257</v>
      </c>
      <c r="B631" t="s">
        <v>280</v>
      </c>
      <c r="C631" s="138" t="s">
        <v>164</v>
      </c>
      <c r="D631" t="s">
        <v>86</v>
      </c>
      <c r="E631" t="s">
        <v>350</v>
      </c>
      <c r="F631">
        <v>700</v>
      </c>
      <c r="G631">
        <v>0</v>
      </c>
      <c r="H631">
        <v>770.5699999999999</v>
      </c>
      <c r="I631" s="90">
        <v>1470.57</v>
      </c>
      <c r="J631" s="90" t="s">
        <v>257</v>
      </c>
      <c r="K631" s="90" t="s">
        <v>451</v>
      </c>
      <c r="L631" t="s">
        <v>107</v>
      </c>
    </row>
    <row r="632" spans="1:12" x14ac:dyDescent="0.25">
      <c r="A632" t="s">
        <v>257</v>
      </c>
      <c r="B632" t="s">
        <v>280</v>
      </c>
      <c r="C632" s="138" t="s">
        <v>164</v>
      </c>
      <c r="D632" t="s">
        <v>86</v>
      </c>
      <c r="E632" t="s">
        <v>350</v>
      </c>
      <c r="F632">
        <v>700</v>
      </c>
      <c r="G632">
        <v>0</v>
      </c>
      <c r="H632">
        <v>783.6099999999999</v>
      </c>
      <c r="I632" s="90">
        <v>1483.61</v>
      </c>
      <c r="J632" s="90" t="s">
        <v>257</v>
      </c>
      <c r="K632" s="90" t="s">
        <v>451</v>
      </c>
      <c r="L632" t="s">
        <v>107</v>
      </c>
    </row>
    <row r="633" spans="1:12" x14ac:dyDescent="0.25">
      <c r="A633" t="s">
        <v>257</v>
      </c>
      <c r="B633" t="s">
        <v>269</v>
      </c>
      <c r="C633" s="138" t="s">
        <v>195</v>
      </c>
      <c r="D633" t="s">
        <v>122</v>
      </c>
      <c r="E633" t="s">
        <v>359</v>
      </c>
      <c r="F633">
        <v>0</v>
      </c>
      <c r="G633">
        <v>3500</v>
      </c>
      <c r="H633">
        <v>779.18</v>
      </c>
      <c r="I633" s="90">
        <v>4279.18</v>
      </c>
      <c r="J633" s="90" t="s">
        <v>257</v>
      </c>
      <c r="K633" s="90" t="s">
        <v>451</v>
      </c>
      <c r="L633" t="s">
        <v>110</v>
      </c>
    </row>
    <row r="634" spans="1:12" x14ac:dyDescent="0.25">
      <c r="A634" t="s">
        <v>257</v>
      </c>
      <c r="B634" t="s">
        <v>269</v>
      </c>
      <c r="C634" s="138" t="s">
        <v>176</v>
      </c>
      <c r="D634" t="s">
        <v>131</v>
      </c>
      <c r="E634" t="s">
        <v>359</v>
      </c>
      <c r="F634">
        <v>0</v>
      </c>
      <c r="G634">
        <v>3500</v>
      </c>
      <c r="H634">
        <v>890.79</v>
      </c>
      <c r="I634" s="90">
        <v>4390.79</v>
      </c>
      <c r="J634" s="90" t="s">
        <v>257</v>
      </c>
      <c r="K634" s="90" t="s">
        <v>451</v>
      </c>
      <c r="L634" t="s">
        <v>129</v>
      </c>
    </row>
    <row r="635" spans="1:12" x14ac:dyDescent="0.25">
      <c r="A635" t="s">
        <v>257</v>
      </c>
      <c r="B635" t="s">
        <v>269</v>
      </c>
      <c r="C635" s="138" t="s">
        <v>130</v>
      </c>
      <c r="D635" t="s">
        <v>131</v>
      </c>
      <c r="E635" t="s">
        <v>359</v>
      </c>
      <c r="F635">
        <v>0</v>
      </c>
      <c r="G635">
        <v>5075</v>
      </c>
      <c r="H635">
        <v>402.23</v>
      </c>
      <c r="I635" s="90">
        <v>5477.23</v>
      </c>
      <c r="J635" s="90" t="s">
        <v>257</v>
      </c>
      <c r="K635" s="90" t="s">
        <v>451</v>
      </c>
      <c r="L635" t="s">
        <v>113</v>
      </c>
    </row>
    <row r="636" spans="1:12" x14ac:dyDescent="0.25">
      <c r="A636" t="s">
        <v>257</v>
      </c>
      <c r="B636" t="s">
        <v>269</v>
      </c>
      <c r="C636" s="138" t="s">
        <v>176</v>
      </c>
      <c r="D636" t="s">
        <v>131</v>
      </c>
      <c r="E636" t="s">
        <v>359</v>
      </c>
      <c r="F636">
        <v>0</v>
      </c>
      <c r="G636">
        <v>3500</v>
      </c>
      <c r="H636">
        <v>890.79</v>
      </c>
      <c r="I636" s="90">
        <v>4390.79</v>
      </c>
      <c r="J636" s="90" t="s">
        <v>257</v>
      </c>
      <c r="K636" s="90" t="s">
        <v>451</v>
      </c>
      <c r="L636" t="s">
        <v>129</v>
      </c>
    </row>
    <row r="637" spans="1:12" x14ac:dyDescent="0.25">
      <c r="A637" t="s">
        <v>257</v>
      </c>
      <c r="B637" t="s">
        <v>269</v>
      </c>
      <c r="C637" s="138" t="s">
        <v>195</v>
      </c>
      <c r="D637" t="s">
        <v>122</v>
      </c>
      <c r="E637" t="s">
        <v>359</v>
      </c>
      <c r="F637">
        <v>0</v>
      </c>
      <c r="G637">
        <v>3500</v>
      </c>
      <c r="H637">
        <v>779.18</v>
      </c>
      <c r="I637" s="90">
        <v>4279.18</v>
      </c>
      <c r="J637" s="90" t="s">
        <v>257</v>
      </c>
      <c r="K637" s="90" t="s">
        <v>451</v>
      </c>
      <c r="L637" t="s">
        <v>110</v>
      </c>
    </row>
    <row r="638" spans="1:12" x14ac:dyDescent="0.25">
      <c r="A638" t="s">
        <v>257</v>
      </c>
      <c r="B638" t="s">
        <v>269</v>
      </c>
      <c r="C638" s="138" t="s">
        <v>176</v>
      </c>
      <c r="D638" t="s">
        <v>131</v>
      </c>
      <c r="E638" t="s">
        <v>359</v>
      </c>
      <c r="F638">
        <v>0</v>
      </c>
      <c r="G638">
        <v>3500</v>
      </c>
      <c r="H638">
        <v>890.79</v>
      </c>
      <c r="I638" s="90">
        <v>4390.79</v>
      </c>
      <c r="J638" s="90" t="s">
        <v>257</v>
      </c>
      <c r="K638" s="90" t="s">
        <v>451</v>
      </c>
      <c r="L638" t="s">
        <v>129</v>
      </c>
    </row>
    <row r="639" spans="1:12" x14ac:dyDescent="0.25">
      <c r="A639" t="s">
        <v>257</v>
      </c>
      <c r="B639" t="s">
        <v>269</v>
      </c>
      <c r="C639" s="138" t="s">
        <v>195</v>
      </c>
      <c r="D639" t="s">
        <v>122</v>
      </c>
      <c r="E639" t="s">
        <v>359</v>
      </c>
      <c r="F639">
        <v>0</v>
      </c>
      <c r="G639">
        <v>3500</v>
      </c>
      <c r="H639">
        <v>779.18</v>
      </c>
      <c r="I639" s="90">
        <v>4279.18</v>
      </c>
      <c r="J639" s="90" t="s">
        <v>257</v>
      </c>
      <c r="K639" s="90" t="s">
        <v>451</v>
      </c>
      <c r="L639" t="s">
        <v>110</v>
      </c>
    </row>
    <row r="640" spans="1:12" x14ac:dyDescent="0.25">
      <c r="A640" t="s">
        <v>257</v>
      </c>
      <c r="B640" t="s">
        <v>269</v>
      </c>
      <c r="C640" s="138" t="s">
        <v>195</v>
      </c>
      <c r="D640" t="s">
        <v>122</v>
      </c>
      <c r="E640" t="s">
        <v>359</v>
      </c>
      <c r="F640">
        <v>0</v>
      </c>
      <c r="G640">
        <v>3500</v>
      </c>
      <c r="H640">
        <v>779.18</v>
      </c>
      <c r="I640" s="90">
        <v>4279.18</v>
      </c>
      <c r="J640" s="90" t="s">
        <v>257</v>
      </c>
      <c r="K640" s="90" t="s">
        <v>451</v>
      </c>
      <c r="L640" t="s">
        <v>110</v>
      </c>
    </row>
    <row r="641" spans="1:12" x14ac:dyDescent="0.25">
      <c r="A641" t="s">
        <v>257</v>
      </c>
      <c r="B641" t="s">
        <v>281</v>
      </c>
      <c r="C641" s="138" t="s">
        <v>137</v>
      </c>
      <c r="D641" t="s">
        <v>138</v>
      </c>
      <c r="E641" t="s">
        <v>350</v>
      </c>
      <c r="F641">
        <v>200</v>
      </c>
      <c r="G641">
        <v>0</v>
      </c>
      <c r="H641">
        <v>0</v>
      </c>
      <c r="I641" s="90">
        <v>200</v>
      </c>
      <c r="J641" s="90" t="s">
        <v>257</v>
      </c>
      <c r="K641" s="90" t="s">
        <v>451</v>
      </c>
      <c r="L641" t="s">
        <v>107</v>
      </c>
    </row>
    <row r="642" spans="1:12" x14ac:dyDescent="0.25">
      <c r="A642" t="s">
        <v>257</v>
      </c>
      <c r="B642" t="s">
        <v>472</v>
      </c>
      <c r="C642" s="138" t="s">
        <v>378</v>
      </c>
      <c r="D642" t="s">
        <v>86</v>
      </c>
      <c r="E642" t="s">
        <v>359</v>
      </c>
      <c r="F642">
        <v>0</v>
      </c>
      <c r="G642">
        <v>4252.51</v>
      </c>
      <c r="H642">
        <v>643.2900000000001</v>
      </c>
      <c r="I642" s="90">
        <v>4895.8</v>
      </c>
      <c r="J642" s="90" t="s">
        <v>257</v>
      </c>
      <c r="K642" s="90" t="s">
        <v>451</v>
      </c>
      <c r="L642" t="s">
        <v>113</v>
      </c>
    </row>
    <row r="643" spans="1:12" x14ac:dyDescent="0.25">
      <c r="A643" t="s">
        <v>257</v>
      </c>
      <c r="B643" t="s">
        <v>472</v>
      </c>
      <c r="C643" s="138" t="s">
        <v>378</v>
      </c>
      <c r="D643" t="s">
        <v>86</v>
      </c>
      <c r="E643" t="s">
        <v>359</v>
      </c>
      <c r="F643">
        <v>0</v>
      </c>
      <c r="G643">
        <v>4252.51</v>
      </c>
      <c r="H643">
        <v>643.2900000000001</v>
      </c>
      <c r="I643" s="90">
        <v>4895.8</v>
      </c>
      <c r="J643" s="90" t="s">
        <v>257</v>
      </c>
      <c r="K643" s="90" t="s">
        <v>451</v>
      </c>
      <c r="L643" t="s">
        <v>113</v>
      </c>
    </row>
    <row r="644" spans="1:12" x14ac:dyDescent="0.25">
      <c r="A644" t="s">
        <v>257</v>
      </c>
      <c r="B644" t="s">
        <v>268</v>
      </c>
      <c r="C644" s="138" t="s">
        <v>177</v>
      </c>
      <c r="D644" t="s">
        <v>178</v>
      </c>
      <c r="E644" t="s">
        <v>359</v>
      </c>
      <c r="F644">
        <v>0</v>
      </c>
      <c r="G644">
        <v>4250</v>
      </c>
      <c r="H644">
        <v>4111.51</v>
      </c>
      <c r="I644" s="90">
        <v>8361.51</v>
      </c>
      <c r="J644" s="90" t="s">
        <v>257</v>
      </c>
      <c r="K644" s="90" t="s">
        <v>451</v>
      </c>
      <c r="L644" t="s">
        <v>135</v>
      </c>
    </row>
    <row r="645" spans="1:12" x14ac:dyDescent="0.25">
      <c r="A645" t="s">
        <v>257</v>
      </c>
      <c r="B645" t="s">
        <v>268</v>
      </c>
      <c r="C645" s="138" t="s">
        <v>177</v>
      </c>
      <c r="D645" t="s">
        <v>178</v>
      </c>
      <c r="E645" t="s">
        <v>359</v>
      </c>
      <c r="F645">
        <v>0</v>
      </c>
      <c r="G645">
        <v>4250</v>
      </c>
      <c r="H645">
        <v>4111.51</v>
      </c>
      <c r="I645" s="90">
        <v>8361.51</v>
      </c>
      <c r="J645" s="90" t="s">
        <v>257</v>
      </c>
      <c r="K645" s="90" t="s">
        <v>451</v>
      </c>
      <c r="L645" t="s">
        <v>135</v>
      </c>
    </row>
    <row r="646" spans="1:12" x14ac:dyDescent="0.25">
      <c r="A646" t="s">
        <v>257</v>
      </c>
      <c r="B646" t="s">
        <v>268</v>
      </c>
      <c r="C646" s="138" t="s">
        <v>177</v>
      </c>
      <c r="D646" t="s">
        <v>178</v>
      </c>
      <c r="E646" t="s">
        <v>359</v>
      </c>
      <c r="F646">
        <v>1500</v>
      </c>
      <c r="G646">
        <v>4250</v>
      </c>
      <c r="H646">
        <v>4111.51</v>
      </c>
      <c r="I646" s="90">
        <v>8361.51</v>
      </c>
      <c r="J646" s="90" t="s">
        <v>257</v>
      </c>
      <c r="K646" s="90" t="s">
        <v>451</v>
      </c>
      <c r="L646" t="s">
        <v>107</v>
      </c>
    </row>
    <row r="647" spans="1:12" x14ac:dyDescent="0.25">
      <c r="A647" t="s">
        <v>257</v>
      </c>
      <c r="B647" t="s">
        <v>473</v>
      </c>
      <c r="C647" s="138" t="s">
        <v>127</v>
      </c>
      <c r="D647" t="s">
        <v>128</v>
      </c>
      <c r="E647" t="s">
        <v>257</v>
      </c>
      <c r="F647">
        <v>0</v>
      </c>
      <c r="G647">
        <v>4250</v>
      </c>
      <c r="H647">
        <v>0</v>
      </c>
      <c r="I647" s="90">
        <v>4250</v>
      </c>
      <c r="J647" s="90" t="s">
        <v>257</v>
      </c>
      <c r="K647" s="90" t="s">
        <v>451</v>
      </c>
      <c r="L647" t="s">
        <v>257</v>
      </c>
    </row>
    <row r="648" spans="1:12" x14ac:dyDescent="0.25">
      <c r="A648" t="s">
        <v>257</v>
      </c>
      <c r="B648" t="s">
        <v>473</v>
      </c>
      <c r="C648" s="138" t="s">
        <v>127</v>
      </c>
      <c r="D648" t="s">
        <v>128</v>
      </c>
      <c r="E648" t="s">
        <v>359</v>
      </c>
      <c r="F648">
        <v>0</v>
      </c>
      <c r="G648">
        <v>4250</v>
      </c>
      <c r="H648">
        <v>1187.63</v>
      </c>
      <c r="I648" s="90">
        <v>5437.63</v>
      </c>
      <c r="J648" s="90" t="s">
        <v>257</v>
      </c>
      <c r="K648" s="90" t="s">
        <v>451</v>
      </c>
      <c r="L648" t="s">
        <v>129</v>
      </c>
    </row>
    <row r="649" spans="1:12" x14ac:dyDescent="0.25">
      <c r="A649" t="s">
        <v>257</v>
      </c>
      <c r="B649" t="s">
        <v>474</v>
      </c>
      <c r="C649" s="138" t="s">
        <v>171</v>
      </c>
      <c r="D649" t="s">
        <v>122</v>
      </c>
      <c r="E649" t="s">
        <v>257</v>
      </c>
      <c r="F649">
        <v>0</v>
      </c>
      <c r="G649">
        <v>1400</v>
      </c>
      <c r="H649">
        <v>0</v>
      </c>
      <c r="I649" s="90">
        <v>1400</v>
      </c>
      <c r="J649" s="90" t="s">
        <v>257</v>
      </c>
      <c r="K649" s="90" t="s">
        <v>451</v>
      </c>
      <c r="L649" t="s">
        <v>257</v>
      </c>
    </row>
    <row r="650" spans="1:12" x14ac:dyDescent="0.25">
      <c r="A650" t="s">
        <v>257</v>
      </c>
      <c r="B650" t="s">
        <v>474</v>
      </c>
      <c r="C650" s="138" t="s">
        <v>171</v>
      </c>
      <c r="D650" t="s">
        <v>122</v>
      </c>
      <c r="E650" t="s">
        <v>359</v>
      </c>
      <c r="F650">
        <v>0</v>
      </c>
      <c r="G650">
        <v>1400</v>
      </c>
      <c r="H650">
        <v>1131.6100000000001</v>
      </c>
      <c r="I650" s="90">
        <v>0</v>
      </c>
      <c r="J650" s="90" t="s">
        <v>257</v>
      </c>
      <c r="K650" s="90" t="s">
        <v>451</v>
      </c>
      <c r="L650" t="s">
        <v>107</v>
      </c>
    </row>
    <row r="651" spans="1:12" x14ac:dyDescent="0.25">
      <c r="A651" t="s">
        <v>257</v>
      </c>
      <c r="B651" t="s">
        <v>474</v>
      </c>
      <c r="C651" s="138" t="s">
        <v>171</v>
      </c>
      <c r="D651" t="s">
        <v>122</v>
      </c>
      <c r="E651" t="s">
        <v>359</v>
      </c>
      <c r="F651">
        <v>0</v>
      </c>
      <c r="G651">
        <v>1400</v>
      </c>
      <c r="H651">
        <v>1239.2800000000002</v>
      </c>
      <c r="I651" s="90">
        <v>2639.28</v>
      </c>
      <c r="J651" s="90" t="s">
        <v>257</v>
      </c>
      <c r="K651" s="90" t="s">
        <v>451</v>
      </c>
      <c r="L651" t="s">
        <v>107</v>
      </c>
    </row>
    <row r="652" spans="1:12" x14ac:dyDescent="0.25">
      <c r="A652" t="s">
        <v>257</v>
      </c>
      <c r="B652" t="s">
        <v>474</v>
      </c>
      <c r="C652" s="138" t="s">
        <v>171</v>
      </c>
      <c r="D652" t="s">
        <v>122</v>
      </c>
      <c r="E652" t="s">
        <v>359</v>
      </c>
      <c r="F652">
        <v>0</v>
      </c>
      <c r="G652">
        <v>1400</v>
      </c>
      <c r="H652">
        <v>1239.2800000000002</v>
      </c>
      <c r="I652" s="90">
        <v>2639.28</v>
      </c>
      <c r="J652" s="90" t="s">
        <v>257</v>
      </c>
      <c r="K652" s="90" t="s">
        <v>451</v>
      </c>
      <c r="L652" t="s">
        <v>107</v>
      </c>
    </row>
    <row r="653" spans="1:12" x14ac:dyDescent="0.25">
      <c r="A653" t="s">
        <v>257</v>
      </c>
      <c r="B653" t="s">
        <v>475</v>
      </c>
      <c r="C653" s="138" t="s">
        <v>374</v>
      </c>
      <c r="D653" t="s">
        <v>122</v>
      </c>
      <c r="E653" t="s">
        <v>257</v>
      </c>
      <c r="F653">
        <v>0</v>
      </c>
      <c r="G653">
        <v>2000</v>
      </c>
      <c r="H653">
        <v>0</v>
      </c>
      <c r="I653" s="90">
        <v>2000</v>
      </c>
      <c r="J653" s="90" t="s">
        <v>257</v>
      </c>
      <c r="K653" s="90" t="s">
        <v>451</v>
      </c>
      <c r="L653" t="s">
        <v>257</v>
      </c>
    </row>
    <row r="654" spans="1:12" x14ac:dyDescent="0.25">
      <c r="A654" t="s">
        <v>257</v>
      </c>
      <c r="B654" t="s">
        <v>475</v>
      </c>
      <c r="C654" s="138" t="s">
        <v>121</v>
      </c>
      <c r="D654" t="s">
        <v>122</v>
      </c>
      <c r="E654" t="s">
        <v>377</v>
      </c>
      <c r="F654">
        <v>0</v>
      </c>
      <c r="G654">
        <v>2000</v>
      </c>
      <c r="H654">
        <v>386.87</v>
      </c>
      <c r="I654" s="90">
        <v>2386.87</v>
      </c>
      <c r="J654" s="90" t="s">
        <v>257</v>
      </c>
      <c r="K654" s="90" t="s">
        <v>451</v>
      </c>
      <c r="L654" t="s">
        <v>110</v>
      </c>
    </row>
    <row r="655" spans="1:12" x14ac:dyDescent="0.25">
      <c r="A655" t="s">
        <v>257</v>
      </c>
      <c r="B655" t="s">
        <v>330</v>
      </c>
      <c r="C655" s="138" t="s">
        <v>115</v>
      </c>
      <c r="D655" t="s">
        <v>86</v>
      </c>
      <c r="E655" t="s">
        <v>359</v>
      </c>
      <c r="F655">
        <v>0</v>
      </c>
      <c r="G655">
        <v>4400</v>
      </c>
      <c r="H655">
        <v>843.21</v>
      </c>
      <c r="I655" s="90">
        <v>5243.21</v>
      </c>
      <c r="J655" s="90" t="s">
        <v>257</v>
      </c>
      <c r="K655" s="90" t="s">
        <v>451</v>
      </c>
      <c r="L655" t="s">
        <v>257</v>
      </c>
    </row>
    <row r="656" spans="1:12" x14ac:dyDescent="0.25">
      <c r="A656" t="s">
        <v>257</v>
      </c>
      <c r="B656" t="s">
        <v>330</v>
      </c>
      <c r="C656" s="138" t="s">
        <v>103</v>
      </c>
      <c r="D656" t="s">
        <v>94</v>
      </c>
      <c r="E656" t="s">
        <v>359</v>
      </c>
      <c r="F656">
        <v>0</v>
      </c>
      <c r="G656">
        <v>1600</v>
      </c>
      <c r="H656">
        <v>364.54</v>
      </c>
      <c r="I656" s="90">
        <v>1964.54</v>
      </c>
      <c r="J656" s="90" t="s">
        <v>257</v>
      </c>
      <c r="K656" s="90" t="s">
        <v>451</v>
      </c>
      <c r="L656" t="s">
        <v>257</v>
      </c>
    </row>
    <row r="657" spans="1:12" x14ac:dyDescent="0.25">
      <c r="A657" t="s">
        <v>257</v>
      </c>
      <c r="B657" t="s">
        <v>330</v>
      </c>
      <c r="C657" s="138" t="s">
        <v>132</v>
      </c>
      <c r="D657" t="s">
        <v>94</v>
      </c>
      <c r="E657" t="s">
        <v>257</v>
      </c>
      <c r="F657">
        <v>0</v>
      </c>
      <c r="G657">
        <v>1500</v>
      </c>
      <c r="H657">
        <v>0</v>
      </c>
      <c r="I657" s="90">
        <v>1500</v>
      </c>
      <c r="J657" s="90" t="s">
        <v>257</v>
      </c>
      <c r="K657" s="90" t="s">
        <v>451</v>
      </c>
      <c r="L657" t="s">
        <v>257</v>
      </c>
    </row>
    <row r="658" spans="1:12" x14ac:dyDescent="0.25">
      <c r="A658" t="s">
        <v>257</v>
      </c>
      <c r="B658" t="s">
        <v>330</v>
      </c>
      <c r="C658" s="138" t="s">
        <v>115</v>
      </c>
      <c r="D658" t="s">
        <v>86</v>
      </c>
      <c r="E658" t="s">
        <v>359</v>
      </c>
      <c r="F658">
        <v>0</v>
      </c>
      <c r="G658">
        <v>4400</v>
      </c>
      <c r="H658">
        <v>1123.21</v>
      </c>
      <c r="I658" s="90">
        <v>5523.21</v>
      </c>
      <c r="J658" s="90" t="s">
        <v>257</v>
      </c>
      <c r="K658" s="90" t="s">
        <v>451</v>
      </c>
      <c r="L658" t="s">
        <v>113</v>
      </c>
    </row>
    <row r="659" spans="1:12" x14ac:dyDescent="0.25">
      <c r="A659" t="s">
        <v>257</v>
      </c>
      <c r="B659" t="s">
        <v>330</v>
      </c>
      <c r="C659" s="138" t="s">
        <v>132</v>
      </c>
      <c r="D659" t="s">
        <v>94</v>
      </c>
      <c r="E659" t="s">
        <v>359</v>
      </c>
      <c r="F659">
        <v>0</v>
      </c>
      <c r="G659">
        <v>1500</v>
      </c>
      <c r="H659">
        <v>1076.0000000000002</v>
      </c>
      <c r="I659" s="90">
        <v>2576</v>
      </c>
      <c r="J659" s="90" t="s">
        <v>257</v>
      </c>
      <c r="K659" s="90" t="s">
        <v>451</v>
      </c>
      <c r="L659" t="s">
        <v>113</v>
      </c>
    </row>
    <row r="660" spans="1:12" x14ac:dyDescent="0.25">
      <c r="A660" t="s">
        <v>257</v>
      </c>
      <c r="B660" t="s">
        <v>476</v>
      </c>
      <c r="C660" s="138" t="s">
        <v>112</v>
      </c>
      <c r="D660" t="s">
        <v>86</v>
      </c>
      <c r="E660" t="s">
        <v>359</v>
      </c>
      <c r="F660">
        <v>0</v>
      </c>
      <c r="G660">
        <v>3800</v>
      </c>
      <c r="H660">
        <v>742.54</v>
      </c>
      <c r="I660" s="90">
        <v>4542.54</v>
      </c>
      <c r="J660" s="90" t="s">
        <v>257</v>
      </c>
      <c r="K660" s="90" t="s">
        <v>451</v>
      </c>
      <c r="L660" t="s">
        <v>113</v>
      </c>
    </row>
    <row r="661" spans="1:12" x14ac:dyDescent="0.25">
      <c r="A661" t="s">
        <v>257</v>
      </c>
      <c r="B661" t="s">
        <v>477</v>
      </c>
      <c r="C661" s="138" t="s">
        <v>118</v>
      </c>
      <c r="D661" t="s">
        <v>119</v>
      </c>
      <c r="E661" t="s">
        <v>359</v>
      </c>
      <c r="F661">
        <v>0</v>
      </c>
      <c r="G661">
        <v>1400</v>
      </c>
      <c r="H661">
        <v>783.0500000000002</v>
      </c>
      <c r="I661" s="90">
        <v>2183.05</v>
      </c>
      <c r="J661" s="90" t="s">
        <v>257</v>
      </c>
      <c r="K661" s="90" t="s">
        <v>451</v>
      </c>
      <c r="L661" t="s">
        <v>257</v>
      </c>
    </row>
    <row r="662" spans="1:12" x14ac:dyDescent="0.25">
      <c r="A662" t="s">
        <v>257</v>
      </c>
      <c r="B662" t="s">
        <v>477</v>
      </c>
      <c r="C662" s="138" t="s">
        <v>118</v>
      </c>
      <c r="D662" t="s">
        <v>119</v>
      </c>
      <c r="E662" t="s">
        <v>359</v>
      </c>
      <c r="F662">
        <v>0</v>
      </c>
      <c r="G662">
        <v>1400</v>
      </c>
      <c r="H662">
        <v>1021.8499999999999</v>
      </c>
      <c r="I662" s="90">
        <v>2421.85</v>
      </c>
      <c r="J662" s="90" t="s">
        <v>257</v>
      </c>
      <c r="K662" s="90" t="s">
        <v>451</v>
      </c>
      <c r="L662" t="s">
        <v>107</v>
      </c>
    </row>
    <row r="663" spans="1:12" x14ac:dyDescent="0.25">
      <c r="A663" t="s">
        <v>257</v>
      </c>
      <c r="B663" t="s">
        <v>478</v>
      </c>
      <c r="C663" s="138" t="s">
        <v>112</v>
      </c>
      <c r="D663" t="s">
        <v>86</v>
      </c>
      <c r="E663" t="s">
        <v>359</v>
      </c>
      <c r="F663">
        <v>0</v>
      </c>
      <c r="G663">
        <v>3800</v>
      </c>
      <c r="H663">
        <v>742.54</v>
      </c>
      <c r="I663" s="90">
        <v>4542.54</v>
      </c>
      <c r="J663" s="90" t="s">
        <v>257</v>
      </c>
      <c r="K663" s="90" t="s">
        <v>451</v>
      </c>
      <c r="L663" t="s">
        <v>257</v>
      </c>
    </row>
    <row r="664" spans="1:12" x14ac:dyDescent="0.25">
      <c r="A664" t="s">
        <v>257</v>
      </c>
      <c r="B664" t="s">
        <v>329</v>
      </c>
      <c r="C664" s="138" t="s">
        <v>101</v>
      </c>
      <c r="D664" t="s">
        <v>102</v>
      </c>
      <c r="E664" t="s">
        <v>373</v>
      </c>
      <c r="F664">
        <v>0</v>
      </c>
      <c r="G664">
        <v>1000</v>
      </c>
      <c r="H664">
        <v>625.91</v>
      </c>
      <c r="I664" s="90">
        <v>1625.9099999999999</v>
      </c>
      <c r="J664" s="90" t="s">
        <v>257</v>
      </c>
      <c r="K664" s="90" t="s">
        <v>451</v>
      </c>
      <c r="L664" t="s">
        <v>257</v>
      </c>
    </row>
    <row r="665" spans="1:12" x14ac:dyDescent="0.25">
      <c r="A665" t="s">
        <v>257</v>
      </c>
      <c r="B665" t="s">
        <v>329</v>
      </c>
      <c r="C665" s="138" t="s">
        <v>123</v>
      </c>
      <c r="D665" t="s">
        <v>124</v>
      </c>
      <c r="E665" t="s">
        <v>365</v>
      </c>
      <c r="F665">
        <v>0</v>
      </c>
      <c r="G665">
        <v>1500</v>
      </c>
      <c r="H665">
        <v>2016.24</v>
      </c>
      <c r="I665" s="90">
        <v>3516.24</v>
      </c>
      <c r="J665" s="90" t="s">
        <v>257</v>
      </c>
      <c r="K665" s="90" t="s">
        <v>451</v>
      </c>
      <c r="L665" t="s">
        <v>257</v>
      </c>
    </row>
    <row r="666" spans="1:12" x14ac:dyDescent="0.25">
      <c r="A666" t="s">
        <v>257</v>
      </c>
      <c r="B666" t="s">
        <v>329</v>
      </c>
      <c r="C666" s="138" t="s">
        <v>123</v>
      </c>
      <c r="D666" t="s">
        <v>124</v>
      </c>
      <c r="E666" t="s">
        <v>376</v>
      </c>
      <c r="F666">
        <v>0</v>
      </c>
      <c r="G666">
        <v>1500</v>
      </c>
      <c r="H666">
        <v>2016.24</v>
      </c>
      <c r="I666" s="90">
        <v>3516.24</v>
      </c>
      <c r="J666" s="90" t="s">
        <v>257</v>
      </c>
      <c r="K666" s="90" t="s">
        <v>451</v>
      </c>
      <c r="L666" t="s">
        <v>125</v>
      </c>
    </row>
    <row r="667" spans="1:12" x14ac:dyDescent="0.25">
      <c r="A667" t="s">
        <v>257</v>
      </c>
      <c r="B667" t="s">
        <v>328</v>
      </c>
      <c r="C667" s="138" t="s">
        <v>126</v>
      </c>
      <c r="D667" t="s">
        <v>78</v>
      </c>
      <c r="E667" t="s">
        <v>351</v>
      </c>
      <c r="F667">
        <v>0</v>
      </c>
      <c r="G667">
        <v>3100</v>
      </c>
      <c r="H667">
        <v>426.9000000000005</v>
      </c>
      <c r="I667" s="90">
        <v>3526.9000000000005</v>
      </c>
      <c r="J667" s="90" t="s">
        <v>257</v>
      </c>
      <c r="K667" s="90" t="s">
        <v>451</v>
      </c>
      <c r="L667" t="s">
        <v>257</v>
      </c>
    </row>
    <row r="668" spans="1:12" x14ac:dyDescent="0.25">
      <c r="A668" t="s">
        <v>257</v>
      </c>
      <c r="B668" t="s">
        <v>328</v>
      </c>
      <c r="C668" s="138" t="s">
        <v>99</v>
      </c>
      <c r="D668" t="s">
        <v>100</v>
      </c>
      <c r="E668" t="s">
        <v>359</v>
      </c>
      <c r="F668">
        <v>0</v>
      </c>
      <c r="G668">
        <v>2800</v>
      </c>
      <c r="H668">
        <v>634.1300000000006</v>
      </c>
      <c r="I668" s="90">
        <v>3434.1300000000006</v>
      </c>
      <c r="J668" s="90" t="s">
        <v>257</v>
      </c>
      <c r="K668" s="90" t="s">
        <v>451</v>
      </c>
      <c r="L668" t="s">
        <v>257</v>
      </c>
    </row>
    <row r="669" spans="1:12" x14ac:dyDescent="0.25">
      <c r="A669" t="s">
        <v>257</v>
      </c>
      <c r="B669" t="s">
        <v>328</v>
      </c>
      <c r="C669" s="138" t="s">
        <v>126</v>
      </c>
      <c r="D669" t="s">
        <v>78</v>
      </c>
      <c r="E669" t="s">
        <v>359</v>
      </c>
      <c r="F669">
        <v>0</v>
      </c>
      <c r="G669">
        <v>3100</v>
      </c>
      <c r="H669">
        <v>849.3500000000001</v>
      </c>
      <c r="I669" s="90">
        <v>3949.3500000000004</v>
      </c>
      <c r="J669" s="90" t="s">
        <v>257</v>
      </c>
      <c r="K669" s="90" t="s">
        <v>451</v>
      </c>
      <c r="L669" t="s">
        <v>125</v>
      </c>
    </row>
    <row r="670" spans="1:12" x14ac:dyDescent="0.25">
      <c r="A670" t="s">
        <v>257</v>
      </c>
      <c r="B670" t="s">
        <v>479</v>
      </c>
      <c r="C670" s="138" t="s">
        <v>108</v>
      </c>
      <c r="D670" t="s">
        <v>109</v>
      </c>
      <c r="E670" t="s">
        <v>30</v>
      </c>
      <c r="F670">
        <v>0</v>
      </c>
      <c r="G670">
        <v>3400</v>
      </c>
      <c r="H670">
        <v>966.4300000000003</v>
      </c>
      <c r="I670" s="90">
        <v>4366.43</v>
      </c>
      <c r="J670" s="90" t="s">
        <v>257</v>
      </c>
      <c r="K670" s="90" t="s">
        <v>451</v>
      </c>
      <c r="L670" t="s">
        <v>257</v>
      </c>
    </row>
    <row r="671" spans="1:12" x14ac:dyDescent="0.25">
      <c r="A671" t="s">
        <v>257</v>
      </c>
      <c r="B671" t="s">
        <v>479</v>
      </c>
      <c r="C671" s="138" t="s">
        <v>108</v>
      </c>
      <c r="D671" t="s">
        <v>109</v>
      </c>
      <c r="E671" t="s">
        <v>359</v>
      </c>
      <c r="F671">
        <v>0</v>
      </c>
      <c r="G671">
        <v>3400</v>
      </c>
      <c r="H671">
        <v>986.43</v>
      </c>
      <c r="I671" s="90">
        <v>4386.43</v>
      </c>
      <c r="J671" s="90" t="s">
        <v>257</v>
      </c>
      <c r="K671" s="90" t="s">
        <v>451</v>
      </c>
      <c r="L671" t="s">
        <v>110</v>
      </c>
    </row>
    <row r="672" spans="1:12" x14ac:dyDescent="0.25">
      <c r="A672" t="s">
        <v>257</v>
      </c>
      <c r="B672" t="s">
        <v>480</v>
      </c>
      <c r="C672" s="138" t="s">
        <v>116</v>
      </c>
      <c r="D672" t="s">
        <v>81</v>
      </c>
      <c r="E672" t="s">
        <v>347</v>
      </c>
      <c r="F672">
        <v>0</v>
      </c>
      <c r="G672">
        <v>2100</v>
      </c>
      <c r="H672">
        <v>1049.04</v>
      </c>
      <c r="I672" s="90">
        <v>3149.04</v>
      </c>
      <c r="J672" s="90" t="s">
        <v>257</v>
      </c>
      <c r="K672" s="90" t="s">
        <v>451</v>
      </c>
      <c r="L672" t="s">
        <v>257</v>
      </c>
    </row>
    <row r="673" spans="1:12" x14ac:dyDescent="0.25">
      <c r="A673" t="s">
        <v>257</v>
      </c>
      <c r="B673" t="s">
        <v>480</v>
      </c>
      <c r="C673" s="138" t="s">
        <v>116</v>
      </c>
      <c r="D673" t="s">
        <v>81</v>
      </c>
      <c r="E673" t="s">
        <v>359</v>
      </c>
      <c r="F673">
        <v>0</v>
      </c>
      <c r="G673">
        <v>2100</v>
      </c>
      <c r="H673">
        <v>1049.04</v>
      </c>
      <c r="I673" s="90">
        <v>3149.04</v>
      </c>
      <c r="J673" s="90" t="s">
        <v>257</v>
      </c>
      <c r="K673" s="90" t="s">
        <v>451</v>
      </c>
      <c r="L673" t="s">
        <v>107</v>
      </c>
    </row>
    <row r="674" spans="1:12" x14ac:dyDescent="0.25">
      <c r="A674" t="s">
        <v>257</v>
      </c>
      <c r="B674" t="s">
        <v>327</v>
      </c>
      <c r="C674" s="138" t="s">
        <v>97</v>
      </c>
      <c r="D674" t="s">
        <v>98</v>
      </c>
      <c r="E674" t="s">
        <v>359</v>
      </c>
      <c r="F674">
        <v>0</v>
      </c>
      <c r="G674">
        <v>725</v>
      </c>
      <c r="H674">
        <v>185.3100000000001</v>
      </c>
      <c r="I674" s="90">
        <v>910.3100000000001</v>
      </c>
      <c r="J674" s="90" t="s">
        <v>257</v>
      </c>
      <c r="K674" s="90" t="s">
        <v>451</v>
      </c>
      <c r="L674" t="s">
        <v>257</v>
      </c>
    </row>
    <row r="675" spans="1:12" x14ac:dyDescent="0.25">
      <c r="A675" t="s">
        <v>257</v>
      </c>
      <c r="B675" t="s">
        <v>326</v>
      </c>
      <c r="C675" s="138" t="s">
        <v>95</v>
      </c>
      <c r="D675" t="s">
        <v>96</v>
      </c>
      <c r="E675" t="s">
        <v>359</v>
      </c>
      <c r="F675">
        <v>0</v>
      </c>
      <c r="G675">
        <v>325</v>
      </c>
      <c r="H675">
        <v>726.1599999999999</v>
      </c>
      <c r="I675" s="90">
        <v>1051.1599999999999</v>
      </c>
      <c r="J675" s="90" t="s">
        <v>257</v>
      </c>
      <c r="K675" s="90" t="s">
        <v>451</v>
      </c>
      <c r="L675" t="s">
        <v>257</v>
      </c>
    </row>
    <row r="676" spans="1:12" x14ac:dyDescent="0.25">
      <c r="A676" t="s">
        <v>257</v>
      </c>
      <c r="B676" t="s">
        <v>324</v>
      </c>
      <c r="C676" s="138" t="s">
        <v>91</v>
      </c>
      <c r="D676" t="s">
        <v>92</v>
      </c>
      <c r="E676" t="s">
        <v>347</v>
      </c>
      <c r="F676">
        <v>0</v>
      </c>
      <c r="G676">
        <v>1900</v>
      </c>
      <c r="H676">
        <v>550.67</v>
      </c>
      <c r="I676" s="90">
        <v>2450.67</v>
      </c>
      <c r="J676" s="90" t="s">
        <v>257</v>
      </c>
      <c r="K676" s="90" t="s">
        <v>451</v>
      </c>
      <c r="L676" t="s">
        <v>257</v>
      </c>
    </row>
    <row r="677" spans="1:12" x14ac:dyDescent="0.25">
      <c r="A677" t="s">
        <v>257</v>
      </c>
      <c r="B677" t="s">
        <v>325</v>
      </c>
      <c r="C677" s="138" t="s">
        <v>93</v>
      </c>
      <c r="D677" t="s">
        <v>94</v>
      </c>
      <c r="E677" t="s">
        <v>347</v>
      </c>
      <c r="F677">
        <v>0</v>
      </c>
      <c r="G677">
        <v>925</v>
      </c>
      <c r="H677">
        <v>724.24</v>
      </c>
      <c r="I677" s="90">
        <v>1649.24</v>
      </c>
      <c r="J677" s="90" t="s">
        <v>257</v>
      </c>
      <c r="K677" s="90" t="s">
        <v>451</v>
      </c>
      <c r="L677" t="s">
        <v>257</v>
      </c>
    </row>
    <row r="678" spans="1:12" x14ac:dyDescent="0.25">
      <c r="A678" t="s">
        <v>257</v>
      </c>
      <c r="B678" t="s">
        <v>286</v>
      </c>
      <c r="C678" s="138" t="s">
        <v>89</v>
      </c>
      <c r="D678" t="s">
        <v>90</v>
      </c>
      <c r="E678" t="s">
        <v>347</v>
      </c>
      <c r="F678">
        <v>0</v>
      </c>
      <c r="G678">
        <v>2500</v>
      </c>
      <c r="H678">
        <v>1030.94</v>
      </c>
      <c r="I678" s="90">
        <v>3530.94</v>
      </c>
      <c r="J678" s="90" t="s">
        <v>257</v>
      </c>
      <c r="K678" s="90" t="s">
        <v>451</v>
      </c>
      <c r="L678" t="s">
        <v>257</v>
      </c>
    </row>
    <row r="679" spans="1:12" x14ac:dyDescent="0.25">
      <c r="A679" t="s">
        <v>257</v>
      </c>
      <c r="B679" t="s">
        <v>481</v>
      </c>
      <c r="C679" s="138" t="s">
        <v>360</v>
      </c>
      <c r="D679" t="s">
        <v>361</v>
      </c>
      <c r="E679" t="s">
        <v>30</v>
      </c>
      <c r="F679">
        <v>0</v>
      </c>
      <c r="G679">
        <v>0</v>
      </c>
      <c r="H679">
        <v>0</v>
      </c>
      <c r="I679" s="90">
        <v>0</v>
      </c>
      <c r="J679" s="90" t="s">
        <v>257</v>
      </c>
      <c r="K679" s="90" t="s">
        <v>451</v>
      </c>
      <c r="L679" t="s">
        <v>257</v>
      </c>
    </row>
    <row r="680" spans="1:12" x14ac:dyDescent="0.25">
      <c r="A680" t="s">
        <v>257</v>
      </c>
      <c r="B680" t="s">
        <v>481</v>
      </c>
      <c r="C680" s="138" t="s">
        <v>360</v>
      </c>
      <c r="D680" t="s">
        <v>361</v>
      </c>
      <c r="E680" t="s">
        <v>30</v>
      </c>
      <c r="F680">
        <v>0</v>
      </c>
      <c r="G680">
        <v>0</v>
      </c>
      <c r="H680">
        <v>6.539999999999964</v>
      </c>
      <c r="I680" s="90">
        <v>6.539999999999964</v>
      </c>
      <c r="J680" s="90" t="s">
        <v>257</v>
      </c>
      <c r="K680" s="90" t="s">
        <v>451</v>
      </c>
      <c r="L680" t="s">
        <v>257</v>
      </c>
    </row>
    <row r="681" spans="1:12" x14ac:dyDescent="0.25">
      <c r="A681" t="s">
        <v>257</v>
      </c>
      <c r="B681" t="s">
        <v>323</v>
      </c>
      <c r="C681" s="138" t="s">
        <v>77</v>
      </c>
      <c r="D681" t="s">
        <v>78</v>
      </c>
      <c r="E681" t="s">
        <v>359</v>
      </c>
      <c r="F681">
        <v>0</v>
      </c>
      <c r="G681">
        <v>3769</v>
      </c>
      <c r="H681">
        <v>0</v>
      </c>
      <c r="I681" s="90">
        <v>3769</v>
      </c>
      <c r="J681" s="90" t="s">
        <v>257</v>
      </c>
      <c r="K681" s="90" t="s">
        <v>451</v>
      </c>
      <c r="L681" t="s">
        <v>257</v>
      </c>
    </row>
    <row r="682" spans="1:12" x14ac:dyDescent="0.25">
      <c r="A682" t="s">
        <v>257</v>
      </c>
      <c r="B682" t="s">
        <v>323</v>
      </c>
      <c r="C682" s="138" t="s">
        <v>77</v>
      </c>
      <c r="D682" t="s">
        <v>78</v>
      </c>
      <c r="E682" t="s">
        <v>359</v>
      </c>
      <c r="F682">
        <v>0</v>
      </c>
      <c r="G682">
        <v>3769</v>
      </c>
      <c r="H682">
        <v>217.54</v>
      </c>
      <c r="I682" s="90">
        <v>3986.54</v>
      </c>
      <c r="J682" s="90" t="s">
        <v>257</v>
      </c>
      <c r="K682" s="90" t="s">
        <v>451</v>
      </c>
      <c r="L682" t="s">
        <v>257</v>
      </c>
    </row>
    <row r="683" spans="1:12" x14ac:dyDescent="0.25">
      <c r="A683" t="s">
        <v>257</v>
      </c>
      <c r="B683" t="s">
        <v>322</v>
      </c>
      <c r="C683" s="138" t="s">
        <v>75</v>
      </c>
      <c r="D683" t="s">
        <v>76</v>
      </c>
      <c r="E683" t="s">
        <v>359</v>
      </c>
      <c r="F683">
        <v>0</v>
      </c>
      <c r="G683">
        <v>4900</v>
      </c>
      <c r="H683">
        <v>0</v>
      </c>
      <c r="I683" s="90">
        <v>4900</v>
      </c>
      <c r="J683" s="90" t="s">
        <v>257</v>
      </c>
      <c r="K683" s="90" t="s">
        <v>451</v>
      </c>
      <c r="L683" t="s">
        <v>257</v>
      </c>
    </row>
    <row r="684" spans="1:12" x14ac:dyDescent="0.25">
      <c r="A684" t="s">
        <v>257</v>
      </c>
      <c r="B684" t="s">
        <v>322</v>
      </c>
      <c r="C684" s="138" t="s">
        <v>75</v>
      </c>
      <c r="D684" t="s">
        <v>76</v>
      </c>
      <c r="E684" t="s">
        <v>359</v>
      </c>
      <c r="F684">
        <v>0</v>
      </c>
      <c r="G684">
        <v>4900</v>
      </c>
      <c r="H684">
        <v>1268.429999999999</v>
      </c>
      <c r="I684" s="90">
        <v>6168.4299999999985</v>
      </c>
      <c r="J684" s="90" t="s">
        <v>257</v>
      </c>
      <c r="K684" s="90" t="s">
        <v>451</v>
      </c>
      <c r="L684" t="s">
        <v>257</v>
      </c>
    </row>
    <row r="685" spans="1:12" x14ac:dyDescent="0.25">
      <c r="A685" t="s">
        <v>257</v>
      </c>
      <c r="B685" t="s">
        <v>482</v>
      </c>
      <c r="C685" s="138" t="s">
        <v>139</v>
      </c>
      <c r="D685" t="s">
        <v>70</v>
      </c>
      <c r="E685" t="s">
        <v>347</v>
      </c>
      <c r="F685">
        <v>0</v>
      </c>
      <c r="G685">
        <v>2250</v>
      </c>
      <c r="H685">
        <v>1157.119999999999</v>
      </c>
      <c r="I685" s="90">
        <v>3407.119999999999</v>
      </c>
      <c r="J685" s="90" t="s">
        <v>257</v>
      </c>
      <c r="K685" s="90" t="s">
        <v>451</v>
      </c>
      <c r="L685" t="s">
        <v>257</v>
      </c>
    </row>
    <row r="686" spans="1:12" x14ac:dyDescent="0.25">
      <c r="A686" t="s">
        <v>257</v>
      </c>
      <c r="B686" t="s">
        <v>482</v>
      </c>
      <c r="C686" s="138" t="s">
        <v>139</v>
      </c>
      <c r="D686" t="s">
        <v>70</v>
      </c>
      <c r="E686" t="s">
        <v>347</v>
      </c>
      <c r="F686">
        <v>0</v>
      </c>
      <c r="G686">
        <v>2250</v>
      </c>
      <c r="H686">
        <v>1172.079999999999</v>
      </c>
      <c r="I686" s="90">
        <v>3422.079999999999</v>
      </c>
      <c r="J686" s="90" t="s">
        <v>257</v>
      </c>
      <c r="K686" s="90" t="s">
        <v>451</v>
      </c>
      <c r="L686" t="s">
        <v>257</v>
      </c>
    </row>
    <row r="687" spans="1:12" x14ac:dyDescent="0.25">
      <c r="A687" t="s">
        <v>257</v>
      </c>
      <c r="B687" t="s">
        <v>482</v>
      </c>
      <c r="C687" s="138" t="s">
        <v>139</v>
      </c>
      <c r="D687" t="s">
        <v>70</v>
      </c>
      <c r="E687" t="s">
        <v>347</v>
      </c>
      <c r="F687">
        <v>0</v>
      </c>
      <c r="G687">
        <v>2250</v>
      </c>
      <c r="H687">
        <v>1172.079999999999</v>
      </c>
      <c r="I687" s="90">
        <v>3422.079999999999</v>
      </c>
      <c r="J687" s="90" t="s">
        <v>257</v>
      </c>
      <c r="K687" s="90" t="s">
        <v>451</v>
      </c>
      <c r="L687" t="s">
        <v>257</v>
      </c>
    </row>
    <row r="688" spans="1:12" x14ac:dyDescent="0.25">
      <c r="A688" t="s">
        <v>257</v>
      </c>
      <c r="B688" t="s">
        <v>482</v>
      </c>
      <c r="C688" s="138" t="s">
        <v>139</v>
      </c>
      <c r="D688" t="s">
        <v>70</v>
      </c>
      <c r="E688" t="s">
        <v>347</v>
      </c>
      <c r="F688">
        <v>0</v>
      </c>
      <c r="G688">
        <v>2250</v>
      </c>
      <c r="H688">
        <v>930</v>
      </c>
      <c r="I688" s="90">
        <v>3180</v>
      </c>
      <c r="J688" s="90" t="s">
        <v>257</v>
      </c>
      <c r="K688" s="90" t="s">
        <v>451</v>
      </c>
      <c r="L688" t="s">
        <v>113</v>
      </c>
    </row>
    <row r="689" spans="1:12" x14ac:dyDescent="0.25">
      <c r="A689" t="s">
        <v>257</v>
      </c>
      <c r="B689" t="s">
        <v>482</v>
      </c>
      <c r="C689" s="138" t="s">
        <v>139</v>
      </c>
      <c r="D689" t="s">
        <v>70</v>
      </c>
      <c r="E689" t="s">
        <v>347</v>
      </c>
      <c r="F689">
        <v>0</v>
      </c>
      <c r="G689">
        <v>2250</v>
      </c>
      <c r="H689">
        <v>1306.61</v>
      </c>
      <c r="I689" s="90">
        <v>3556.6099999999997</v>
      </c>
      <c r="J689" s="90" t="s">
        <v>257</v>
      </c>
      <c r="K689" s="90" t="s">
        <v>451</v>
      </c>
      <c r="L689" t="s">
        <v>113</v>
      </c>
    </row>
    <row r="690" spans="1:12" x14ac:dyDescent="0.25">
      <c r="A690" t="s">
        <v>257</v>
      </c>
      <c r="B690" t="s">
        <v>285</v>
      </c>
      <c r="C690" s="138" t="s">
        <v>71</v>
      </c>
      <c r="D690" t="s">
        <v>355</v>
      </c>
      <c r="E690" t="s">
        <v>347</v>
      </c>
      <c r="F690">
        <v>0</v>
      </c>
      <c r="G690">
        <v>800</v>
      </c>
      <c r="H690">
        <v>2290.369999999999</v>
      </c>
      <c r="I690" s="90">
        <v>3090.369999999999</v>
      </c>
      <c r="J690" s="90" t="s">
        <v>257</v>
      </c>
      <c r="K690" s="90" t="s">
        <v>451</v>
      </c>
      <c r="L690" t="s">
        <v>257</v>
      </c>
    </row>
    <row r="691" spans="1:12" x14ac:dyDescent="0.25">
      <c r="A691" t="s">
        <v>257</v>
      </c>
      <c r="B691" t="s">
        <v>285</v>
      </c>
      <c r="C691" s="138" t="s">
        <v>71</v>
      </c>
      <c r="D691" t="s">
        <v>72</v>
      </c>
      <c r="E691" t="s">
        <v>347</v>
      </c>
      <c r="F691">
        <v>0</v>
      </c>
      <c r="G691">
        <v>800</v>
      </c>
      <c r="H691">
        <v>2290.369999999999</v>
      </c>
      <c r="I691" s="90">
        <v>3090.369999999999</v>
      </c>
      <c r="J691" s="90" t="s">
        <v>257</v>
      </c>
      <c r="K691" s="90" t="s">
        <v>451</v>
      </c>
      <c r="L691" t="s">
        <v>257</v>
      </c>
    </row>
    <row r="692" spans="1:12" x14ac:dyDescent="0.25">
      <c r="A692" t="s">
        <v>257</v>
      </c>
      <c r="B692" t="s">
        <v>285</v>
      </c>
      <c r="C692" s="138" t="s">
        <v>71</v>
      </c>
      <c r="D692" t="s">
        <v>72</v>
      </c>
      <c r="E692" t="s">
        <v>347</v>
      </c>
      <c r="F692">
        <v>0</v>
      </c>
      <c r="G692">
        <v>800</v>
      </c>
      <c r="H692">
        <v>2290.369999999999</v>
      </c>
      <c r="I692" s="90">
        <v>3090.369999999999</v>
      </c>
      <c r="J692" s="90" t="s">
        <v>257</v>
      </c>
      <c r="K692" s="90" t="s">
        <v>451</v>
      </c>
      <c r="L692" t="s">
        <v>257</v>
      </c>
    </row>
    <row r="693" spans="1:12" x14ac:dyDescent="0.25">
      <c r="A693" t="s">
        <v>257</v>
      </c>
      <c r="B693" t="s">
        <v>287</v>
      </c>
      <c r="C693" s="138" t="s">
        <v>69</v>
      </c>
      <c r="D693" t="s">
        <v>70</v>
      </c>
      <c r="E693" t="s">
        <v>347</v>
      </c>
      <c r="F693">
        <v>0</v>
      </c>
      <c r="G693">
        <v>1200</v>
      </c>
      <c r="H693">
        <v>159.7000000000003</v>
      </c>
      <c r="I693" s="90">
        <v>1359.7000000000003</v>
      </c>
      <c r="J693" s="90" t="s">
        <v>257</v>
      </c>
      <c r="K693" s="90" t="s">
        <v>451</v>
      </c>
      <c r="L693" t="s">
        <v>257</v>
      </c>
    </row>
    <row r="694" spans="1:12" x14ac:dyDescent="0.25">
      <c r="A694" t="s">
        <v>257</v>
      </c>
      <c r="B694" t="s">
        <v>287</v>
      </c>
      <c r="C694" s="138" t="s">
        <v>69</v>
      </c>
      <c r="D694" t="s">
        <v>70</v>
      </c>
      <c r="E694" t="s">
        <v>347</v>
      </c>
      <c r="F694">
        <v>0</v>
      </c>
      <c r="G694">
        <v>1200</v>
      </c>
      <c r="H694">
        <v>159.7000000000003</v>
      </c>
      <c r="I694" s="90">
        <v>1359.7000000000003</v>
      </c>
      <c r="J694" s="90" t="s">
        <v>257</v>
      </c>
      <c r="K694" s="90" t="s">
        <v>451</v>
      </c>
      <c r="L694" t="s">
        <v>257</v>
      </c>
    </row>
    <row r="695" spans="1:12" x14ac:dyDescent="0.25">
      <c r="A695" t="s">
        <v>257</v>
      </c>
      <c r="B695" t="s">
        <v>287</v>
      </c>
      <c r="C695" s="138" t="s">
        <v>69</v>
      </c>
      <c r="D695" t="s">
        <v>70</v>
      </c>
      <c r="E695" t="s">
        <v>347</v>
      </c>
      <c r="F695">
        <v>0</v>
      </c>
      <c r="G695">
        <v>1200</v>
      </c>
      <c r="H695">
        <v>159.7000000000003</v>
      </c>
      <c r="I695" s="90">
        <v>1359.7000000000003</v>
      </c>
      <c r="J695" s="90" t="s">
        <v>257</v>
      </c>
      <c r="K695" s="90" t="s">
        <v>451</v>
      </c>
      <c r="L695" t="s">
        <v>257</v>
      </c>
    </row>
    <row r="696" spans="1:12" x14ac:dyDescent="0.25">
      <c r="A696" t="s">
        <v>257</v>
      </c>
      <c r="B696" t="s">
        <v>321</v>
      </c>
      <c r="C696" s="138" t="s">
        <v>73</v>
      </c>
      <c r="D696" t="s">
        <v>74</v>
      </c>
      <c r="E696" t="s">
        <v>347</v>
      </c>
      <c r="F696">
        <v>0</v>
      </c>
      <c r="G696">
        <v>500</v>
      </c>
      <c r="H696">
        <v>1481.44</v>
      </c>
      <c r="I696" s="90">
        <v>1981.44</v>
      </c>
      <c r="J696" s="90" t="s">
        <v>257</v>
      </c>
      <c r="K696" s="90" t="s">
        <v>451</v>
      </c>
      <c r="L696" t="s">
        <v>257</v>
      </c>
    </row>
    <row r="697" spans="1:12" x14ac:dyDescent="0.25">
      <c r="A697" t="s">
        <v>257</v>
      </c>
      <c r="B697" t="s">
        <v>321</v>
      </c>
      <c r="C697" s="138" t="s">
        <v>73</v>
      </c>
      <c r="D697" t="s">
        <v>74</v>
      </c>
      <c r="E697" t="s">
        <v>347</v>
      </c>
      <c r="F697">
        <v>0</v>
      </c>
      <c r="G697">
        <v>500</v>
      </c>
      <c r="H697">
        <v>1251.87</v>
      </c>
      <c r="I697" s="90">
        <v>1751.87</v>
      </c>
      <c r="J697" s="90" t="s">
        <v>257</v>
      </c>
      <c r="K697" s="90" t="s">
        <v>451</v>
      </c>
      <c r="L697" t="s">
        <v>257</v>
      </c>
    </row>
    <row r="698" spans="1:12" x14ac:dyDescent="0.25">
      <c r="A698" t="s">
        <v>257</v>
      </c>
      <c r="B698" t="s">
        <v>321</v>
      </c>
      <c r="C698" s="138" t="s">
        <v>73</v>
      </c>
      <c r="D698" t="s">
        <v>74</v>
      </c>
      <c r="E698" t="s">
        <v>347</v>
      </c>
      <c r="F698">
        <v>0</v>
      </c>
      <c r="G698">
        <v>500</v>
      </c>
      <c r="H698">
        <v>1481.44</v>
      </c>
      <c r="I698" s="90">
        <v>1981.44</v>
      </c>
      <c r="J698" s="90" t="s">
        <v>257</v>
      </c>
      <c r="K698" s="90" t="s">
        <v>451</v>
      </c>
      <c r="L698" t="s">
        <v>257</v>
      </c>
    </row>
    <row r="699" spans="1:12" x14ac:dyDescent="0.25">
      <c r="A699" t="s">
        <v>257</v>
      </c>
      <c r="B699" t="s">
        <v>282</v>
      </c>
      <c r="C699" s="138" t="s">
        <v>104</v>
      </c>
      <c r="D699" t="s">
        <v>105</v>
      </c>
      <c r="E699" t="s">
        <v>347</v>
      </c>
      <c r="F699">
        <v>0</v>
      </c>
      <c r="G699">
        <v>4387.08</v>
      </c>
      <c r="H699">
        <v>1648.789999999998</v>
      </c>
      <c r="I699" s="90">
        <v>6035.869999999998</v>
      </c>
      <c r="J699" s="90" t="s">
        <v>257</v>
      </c>
      <c r="K699" s="90" t="s">
        <v>451</v>
      </c>
      <c r="L699" t="s">
        <v>257</v>
      </c>
    </row>
    <row r="700" spans="1:12" x14ac:dyDescent="0.25">
      <c r="A700" t="s">
        <v>257</v>
      </c>
      <c r="B700" t="s">
        <v>282</v>
      </c>
      <c r="C700" s="138" t="s">
        <v>104</v>
      </c>
      <c r="D700" t="s">
        <v>105</v>
      </c>
      <c r="E700" t="s">
        <v>347</v>
      </c>
      <c r="F700">
        <v>0</v>
      </c>
      <c r="G700">
        <v>4387.08</v>
      </c>
      <c r="H700">
        <v>1527.849999999999</v>
      </c>
      <c r="I700" s="90">
        <v>5914.9299999999985</v>
      </c>
      <c r="J700" s="90" t="s">
        <v>257</v>
      </c>
      <c r="K700" s="90" t="s">
        <v>451</v>
      </c>
      <c r="L700" t="s">
        <v>257</v>
      </c>
    </row>
    <row r="701" spans="1:12" x14ac:dyDescent="0.25">
      <c r="A701" t="s">
        <v>257</v>
      </c>
      <c r="B701" t="s">
        <v>282</v>
      </c>
      <c r="C701" s="138" t="s">
        <v>104</v>
      </c>
      <c r="D701" t="s">
        <v>105</v>
      </c>
      <c r="E701" t="s">
        <v>347</v>
      </c>
      <c r="F701">
        <v>0</v>
      </c>
      <c r="G701">
        <v>4387.08</v>
      </c>
      <c r="H701">
        <v>1648.789999999998</v>
      </c>
      <c r="I701" s="90">
        <v>6035.869999999998</v>
      </c>
      <c r="J701" s="90" t="s">
        <v>257</v>
      </c>
      <c r="K701" s="90" t="s">
        <v>451</v>
      </c>
      <c r="L701" t="s">
        <v>257</v>
      </c>
    </row>
    <row r="702" spans="1:12" x14ac:dyDescent="0.25">
      <c r="A702" t="s">
        <v>257</v>
      </c>
      <c r="B702" t="s">
        <v>282</v>
      </c>
      <c r="C702" s="138" t="s">
        <v>104</v>
      </c>
      <c r="D702" t="s">
        <v>105</v>
      </c>
      <c r="E702" t="s">
        <v>347</v>
      </c>
      <c r="F702">
        <v>0</v>
      </c>
      <c r="G702">
        <v>4387.08</v>
      </c>
      <c r="H702">
        <v>1648.789999999998</v>
      </c>
      <c r="I702" s="90">
        <v>6035.869999999998</v>
      </c>
      <c r="J702" s="90" t="s">
        <v>257</v>
      </c>
      <c r="K702" s="90" t="s">
        <v>451</v>
      </c>
      <c r="L702" t="s">
        <v>257</v>
      </c>
    </row>
    <row r="703" spans="1:12" x14ac:dyDescent="0.25">
      <c r="A703" t="s">
        <v>257</v>
      </c>
      <c r="B703" t="s">
        <v>282</v>
      </c>
      <c r="C703" s="138" t="s">
        <v>104</v>
      </c>
      <c r="D703" t="s">
        <v>105</v>
      </c>
      <c r="E703" t="s">
        <v>345</v>
      </c>
      <c r="F703">
        <v>0</v>
      </c>
      <c r="G703">
        <v>4387.08</v>
      </c>
      <c r="H703">
        <v>1648.789999999998</v>
      </c>
      <c r="I703" s="90">
        <v>6035.869999999998</v>
      </c>
      <c r="J703" s="90" t="s">
        <v>257</v>
      </c>
      <c r="K703" s="90" t="s">
        <v>451</v>
      </c>
      <c r="L703" t="s">
        <v>106</v>
      </c>
    </row>
    <row r="704" spans="1:12" x14ac:dyDescent="0.25">
      <c r="A704" t="s">
        <v>257</v>
      </c>
      <c r="B704" t="s">
        <v>298</v>
      </c>
      <c r="C704" s="138" t="s">
        <v>120</v>
      </c>
      <c r="D704" t="s">
        <v>65</v>
      </c>
      <c r="E704" t="s">
        <v>347</v>
      </c>
      <c r="F704">
        <v>0</v>
      </c>
      <c r="G704">
        <v>1200</v>
      </c>
      <c r="H704">
        <v>2451.52</v>
      </c>
      <c r="I704" s="90">
        <v>3651.52</v>
      </c>
      <c r="J704" s="90" t="s">
        <v>257</v>
      </c>
      <c r="K704" s="90" t="s">
        <v>451</v>
      </c>
      <c r="L704" t="s">
        <v>257</v>
      </c>
    </row>
    <row r="705" spans="1:12" x14ac:dyDescent="0.25">
      <c r="A705" t="s">
        <v>257</v>
      </c>
      <c r="B705" t="s">
        <v>298</v>
      </c>
      <c r="C705" s="138" t="s">
        <v>120</v>
      </c>
      <c r="D705" t="s">
        <v>65</v>
      </c>
      <c r="E705" t="s">
        <v>347</v>
      </c>
      <c r="F705">
        <v>0</v>
      </c>
      <c r="G705">
        <v>1200</v>
      </c>
      <c r="H705">
        <v>1867.959999999999</v>
      </c>
      <c r="I705" s="90">
        <v>3067.959999999999</v>
      </c>
      <c r="J705" s="90" t="s">
        <v>257</v>
      </c>
      <c r="K705" s="90" t="s">
        <v>451</v>
      </c>
      <c r="L705" t="s">
        <v>257</v>
      </c>
    </row>
    <row r="706" spans="1:12" x14ac:dyDescent="0.25">
      <c r="A706" t="s">
        <v>257</v>
      </c>
      <c r="B706" t="s">
        <v>298</v>
      </c>
      <c r="C706" s="138" t="s">
        <v>120</v>
      </c>
      <c r="D706" t="s">
        <v>65</v>
      </c>
      <c r="E706" t="s">
        <v>347</v>
      </c>
      <c r="F706">
        <v>0</v>
      </c>
      <c r="G706">
        <v>1200</v>
      </c>
      <c r="H706">
        <v>2451.52</v>
      </c>
      <c r="I706" s="90">
        <v>3651.52</v>
      </c>
      <c r="J706" s="90" t="s">
        <v>257</v>
      </c>
      <c r="K706" s="90" t="s">
        <v>451</v>
      </c>
      <c r="L706" t="s">
        <v>257</v>
      </c>
    </row>
    <row r="707" spans="1:12" x14ac:dyDescent="0.25">
      <c r="A707" t="s">
        <v>257</v>
      </c>
      <c r="B707" t="s">
        <v>298</v>
      </c>
      <c r="C707" s="138" t="s">
        <v>120</v>
      </c>
      <c r="D707" t="s">
        <v>65</v>
      </c>
      <c r="E707" t="s">
        <v>347</v>
      </c>
      <c r="F707">
        <v>0</v>
      </c>
      <c r="G707">
        <v>1200</v>
      </c>
      <c r="H707">
        <v>2451.52</v>
      </c>
      <c r="I707" s="90">
        <v>3651.52</v>
      </c>
      <c r="J707" s="90" t="s">
        <v>257</v>
      </c>
      <c r="K707" s="90" t="s">
        <v>451</v>
      </c>
      <c r="L707" t="s">
        <v>257</v>
      </c>
    </row>
    <row r="708" spans="1:12" x14ac:dyDescent="0.25">
      <c r="A708" t="s">
        <v>257</v>
      </c>
      <c r="B708" t="s">
        <v>298</v>
      </c>
      <c r="C708" s="138" t="s">
        <v>120</v>
      </c>
      <c r="D708" t="s">
        <v>65</v>
      </c>
      <c r="E708" t="s">
        <v>347</v>
      </c>
      <c r="F708">
        <v>0</v>
      </c>
      <c r="G708">
        <v>1200</v>
      </c>
      <c r="H708">
        <v>2451.52</v>
      </c>
      <c r="I708" s="90">
        <v>3651.52</v>
      </c>
      <c r="J708" s="90" t="s">
        <v>257</v>
      </c>
      <c r="K708" s="90" t="s">
        <v>451</v>
      </c>
      <c r="L708" t="s">
        <v>107</v>
      </c>
    </row>
    <row r="709" spans="1:12" x14ac:dyDescent="0.25">
      <c r="A709" t="s">
        <v>257</v>
      </c>
      <c r="B709" t="s">
        <v>300</v>
      </c>
      <c r="C709" s="138" t="s">
        <v>58</v>
      </c>
      <c r="D709" t="s">
        <v>59</v>
      </c>
      <c r="E709" t="s">
        <v>347</v>
      </c>
      <c r="F709">
        <v>0</v>
      </c>
      <c r="G709">
        <v>2200</v>
      </c>
      <c r="H709">
        <v>14.2</v>
      </c>
      <c r="I709" s="90">
        <v>2214.2</v>
      </c>
      <c r="J709" s="90" t="s">
        <v>257</v>
      </c>
      <c r="K709" s="90" t="s">
        <v>451</v>
      </c>
      <c r="L709" t="s">
        <v>257</v>
      </c>
    </row>
    <row r="710" spans="1:12" x14ac:dyDescent="0.25">
      <c r="A710" t="s">
        <v>257</v>
      </c>
      <c r="B710" t="s">
        <v>303</v>
      </c>
      <c r="C710" s="138" t="s">
        <v>66</v>
      </c>
      <c r="D710" t="s">
        <v>67</v>
      </c>
      <c r="E710" t="s">
        <v>347</v>
      </c>
      <c r="F710">
        <v>0</v>
      </c>
      <c r="G710">
        <v>750</v>
      </c>
      <c r="H710">
        <v>695.2200000000003</v>
      </c>
      <c r="I710" s="90">
        <v>1445.2200000000003</v>
      </c>
      <c r="J710" s="90" t="s">
        <v>257</v>
      </c>
      <c r="K710" s="90" t="s">
        <v>451</v>
      </c>
      <c r="L710" t="s">
        <v>257</v>
      </c>
    </row>
    <row r="711" spans="1:12" x14ac:dyDescent="0.25">
      <c r="A711" t="s">
        <v>257</v>
      </c>
      <c r="B711" t="s">
        <v>303</v>
      </c>
      <c r="C711" s="138" t="s">
        <v>56</v>
      </c>
      <c r="D711" t="s">
        <v>57</v>
      </c>
      <c r="E711" t="s">
        <v>345</v>
      </c>
      <c r="F711">
        <v>0</v>
      </c>
      <c r="G711">
        <v>6030.41</v>
      </c>
      <c r="H711">
        <v>75</v>
      </c>
      <c r="I711" s="90">
        <v>6105.41</v>
      </c>
      <c r="J711" s="90" t="s">
        <v>257</v>
      </c>
      <c r="K711" s="90" t="s">
        <v>451</v>
      </c>
      <c r="L711" t="s">
        <v>257</v>
      </c>
    </row>
    <row r="712" spans="1:12" x14ac:dyDescent="0.25">
      <c r="A712" t="s">
        <v>257</v>
      </c>
      <c r="B712" t="s">
        <v>303</v>
      </c>
      <c r="C712" s="138" t="s">
        <v>66</v>
      </c>
      <c r="D712" t="s">
        <v>67</v>
      </c>
      <c r="E712" t="s">
        <v>347</v>
      </c>
      <c r="F712">
        <v>0</v>
      </c>
      <c r="G712">
        <v>750</v>
      </c>
      <c r="H712">
        <v>672.0400000000002</v>
      </c>
      <c r="I712" s="90">
        <v>1422.0400000000002</v>
      </c>
      <c r="J712" s="90" t="s">
        <v>257</v>
      </c>
      <c r="K712" s="90" t="s">
        <v>451</v>
      </c>
      <c r="L712" t="s">
        <v>257</v>
      </c>
    </row>
    <row r="713" spans="1:12" x14ac:dyDescent="0.25">
      <c r="A713" t="s">
        <v>257</v>
      </c>
      <c r="B713" t="s">
        <v>303</v>
      </c>
      <c r="C713" s="138" t="s">
        <v>66</v>
      </c>
      <c r="D713" t="s">
        <v>67</v>
      </c>
      <c r="E713" t="s">
        <v>347</v>
      </c>
      <c r="F713">
        <v>0</v>
      </c>
      <c r="G713">
        <v>750</v>
      </c>
      <c r="H713">
        <v>695.2200000000003</v>
      </c>
      <c r="I713" s="90">
        <v>1445.2200000000003</v>
      </c>
      <c r="J713" s="90" t="s">
        <v>257</v>
      </c>
      <c r="K713" s="90" t="s">
        <v>451</v>
      </c>
      <c r="L713" t="s">
        <v>257</v>
      </c>
    </row>
    <row r="714" spans="1:12" x14ac:dyDescent="0.25">
      <c r="A714" t="s">
        <v>257</v>
      </c>
      <c r="B714" t="s">
        <v>299</v>
      </c>
      <c r="C714" s="138" t="s">
        <v>54</v>
      </c>
      <c r="D714" t="s">
        <v>55</v>
      </c>
      <c r="E714" t="s">
        <v>347</v>
      </c>
      <c r="F714">
        <v>0</v>
      </c>
      <c r="G714">
        <v>500</v>
      </c>
      <c r="H714">
        <v>134.46</v>
      </c>
      <c r="I714" s="90">
        <v>634.46</v>
      </c>
      <c r="J714" s="90" t="s">
        <v>257</v>
      </c>
      <c r="K714" s="90" t="s">
        <v>451</v>
      </c>
      <c r="L714" t="s">
        <v>257</v>
      </c>
    </row>
    <row r="715" spans="1:12" x14ac:dyDescent="0.25">
      <c r="A715" t="s">
        <v>257</v>
      </c>
      <c r="B715" t="s">
        <v>291</v>
      </c>
      <c r="C715" s="138" t="s">
        <v>64</v>
      </c>
      <c r="D715" t="s">
        <v>65</v>
      </c>
      <c r="E715" t="s">
        <v>347</v>
      </c>
      <c r="F715">
        <v>0</v>
      </c>
      <c r="G715">
        <v>450</v>
      </c>
      <c r="H715">
        <v>538.1400000000001</v>
      </c>
      <c r="I715" s="90">
        <v>988.1400000000001</v>
      </c>
      <c r="J715" s="90" t="s">
        <v>257</v>
      </c>
      <c r="K715" s="90" t="s">
        <v>451</v>
      </c>
      <c r="L715" t="s">
        <v>257</v>
      </c>
    </row>
    <row r="716" spans="1:12" x14ac:dyDescent="0.25">
      <c r="A716" t="s">
        <v>257</v>
      </c>
      <c r="B716" t="s">
        <v>291</v>
      </c>
      <c r="C716" s="138" t="s">
        <v>52</v>
      </c>
      <c r="D716" t="s">
        <v>53</v>
      </c>
      <c r="E716" t="s">
        <v>351</v>
      </c>
      <c r="F716">
        <v>0</v>
      </c>
      <c r="G716">
        <v>2700</v>
      </c>
      <c r="H716">
        <v>36.31999999999971</v>
      </c>
      <c r="I716" s="90">
        <v>2736.3199999999997</v>
      </c>
      <c r="J716" s="90" t="s">
        <v>257</v>
      </c>
      <c r="K716" s="90" t="s">
        <v>451</v>
      </c>
      <c r="L716" t="s">
        <v>257</v>
      </c>
    </row>
    <row r="717" spans="1:12" x14ac:dyDescent="0.25">
      <c r="A717" t="s">
        <v>257</v>
      </c>
      <c r="B717" t="s">
        <v>291</v>
      </c>
      <c r="C717" s="138" t="s">
        <v>64</v>
      </c>
      <c r="D717" t="s">
        <v>65</v>
      </c>
      <c r="E717" t="s">
        <v>347</v>
      </c>
      <c r="F717">
        <v>0</v>
      </c>
      <c r="G717">
        <v>450</v>
      </c>
      <c r="H717">
        <v>548.1500000000001</v>
      </c>
      <c r="I717" s="90">
        <v>998.1500000000001</v>
      </c>
      <c r="J717" s="90" t="s">
        <v>257</v>
      </c>
      <c r="K717" s="90" t="s">
        <v>451</v>
      </c>
      <c r="L717" t="s">
        <v>257</v>
      </c>
    </row>
    <row r="718" spans="1:12" x14ac:dyDescent="0.25">
      <c r="A718" t="s">
        <v>257</v>
      </c>
      <c r="B718" t="s">
        <v>301</v>
      </c>
      <c r="C718" s="138" t="s">
        <v>50</v>
      </c>
      <c r="D718" t="s">
        <v>51</v>
      </c>
      <c r="E718" t="s">
        <v>350</v>
      </c>
      <c r="F718">
        <v>0</v>
      </c>
      <c r="G718">
        <v>1976.81</v>
      </c>
      <c r="H718">
        <v>16</v>
      </c>
      <c r="I718" s="90">
        <v>1992.81</v>
      </c>
      <c r="J718" s="90" t="s">
        <v>257</v>
      </c>
      <c r="K718" s="90" t="s">
        <v>451</v>
      </c>
      <c r="L718" t="s">
        <v>257</v>
      </c>
    </row>
    <row r="719" spans="1:12" x14ac:dyDescent="0.25">
      <c r="A719" t="s">
        <v>257</v>
      </c>
      <c r="B719" t="s">
        <v>289</v>
      </c>
      <c r="C719" s="138" t="s">
        <v>62</v>
      </c>
      <c r="D719" t="s">
        <v>63</v>
      </c>
      <c r="E719" t="s">
        <v>347</v>
      </c>
      <c r="F719">
        <v>0</v>
      </c>
      <c r="G719">
        <v>2999</v>
      </c>
      <c r="H719">
        <v>2152.84</v>
      </c>
      <c r="I719" s="90">
        <v>5151.84</v>
      </c>
      <c r="J719" s="90" t="s">
        <v>257</v>
      </c>
      <c r="K719" s="90" t="s">
        <v>451</v>
      </c>
      <c r="L719" t="s">
        <v>257</v>
      </c>
    </row>
    <row r="720" spans="1:12" x14ac:dyDescent="0.25">
      <c r="A720" t="s">
        <v>257</v>
      </c>
      <c r="B720" t="s">
        <v>289</v>
      </c>
      <c r="C720" s="138" t="s">
        <v>62</v>
      </c>
      <c r="D720" t="s">
        <v>63</v>
      </c>
      <c r="E720" t="s">
        <v>347</v>
      </c>
      <c r="F720">
        <v>0</v>
      </c>
      <c r="G720">
        <v>2999</v>
      </c>
      <c r="H720">
        <v>2152.84</v>
      </c>
      <c r="I720" s="90">
        <v>5151.84</v>
      </c>
      <c r="J720" s="90" t="s">
        <v>257</v>
      </c>
      <c r="K720" s="90" t="s">
        <v>451</v>
      </c>
      <c r="L720" t="s">
        <v>257</v>
      </c>
    </row>
    <row r="721" spans="1:12" x14ac:dyDescent="0.25">
      <c r="A721" t="s">
        <v>257</v>
      </c>
      <c r="B721" t="s">
        <v>297</v>
      </c>
      <c r="C721" s="138" t="s">
        <v>48</v>
      </c>
      <c r="D721" t="s">
        <v>49</v>
      </c>
      <c r="E721" t="s">
        <v>347</v>
      </c>
      <c r="F721">
        <v>0</v>
      </c>
      <c r="G721">
        <v>1750</v>
      </c>
      <c r="H721">
        <v>410.7400000000002</v>
      </c>
      <c r="I721" s="90">
        <v>2160.7400000000002</v>
      </c>
      <c r="J721" s="90" t="s">
        <v>257</v>
      </c>
      <c r="K721" s="90" t="s">
        <v>451</v>
      </c>
      <c r="L721" t="s">
        <v>257</v>
      </c>
    </row>
    <row r="722" spans="1:12" x14ac:dyDescent="0.25">
      <c r="A722" t="s">
        <v>257</v>
      </c>
      <c r="B722" t="s">
        <v>295</v>
      </c>
      <c r="C722" s="138" t="s">
        <v>46</v>
      </c>
      <c r="D722" t="s">
        <v>47</v>
      </c>
      <c r="E722" t="s">
        <v>347</v>
      </c>
      <c r="F722">
        <v>0</v>
      </c>
      <c r="G722">
        <v>1250</v>
      </c>
      <c r="H722">
        <v>915.4200000000001</v>
      </c>
      <c r="I722" s="90">
        <v>2165.42</v>
      </c>
      <c r="J722" s="90" t="s">
        <v>257</v>
      </c>
      <c r="K722" s="90" t="s">
        <v>451</v>
      </c>
      <c r="L722" t="s">
        <v>257</v>
      </c>
    </row>
    <row r="723" spans="1:12" x14ac:dyDescent="0.25">
      <c r="A723" t="s">
        <v>257</v>
      </c>
      <c r="B723" t="s">
        <v>483</v>
      </c>
      <c r="C723" s="138" t="s">
        <v>161</v>
      </c>
      <c r="D723" t="s">
        <v>162</v>
      </c>
      <c r="E723" t="s">
        <v>347</v>
      </c>
      <c r="F723">
        <v>0</v>
      </c>
      <c r="G723">
        <v>2000</v>
      </c>
      <c r="H723">
        <v>4597.14</v>
      </c>
      <c r="I723" s="90">
        <v>6597.14</v>
      </c>
      <c r="J723" s="90" t="s">
        <v>257</v>
      </c>
      <c r="K723" s="90" t="s">
        <v>451</v>
      </c>
      <c r="L723" t="s">
        <v>257</v>
      </c>
    </row>
    <row r="724" spans="1:12" x14ac:dyDescent="0.25">
      <c r="A724" t="s">
        <v>257</v>
      </c>
      <c r="B724" t="s">
        <v>483</v>
      </c>
      <c r="C724" s="138" t="s">
        <v>161</v>
      </c>
      <c r="D724" t="s">
        <v>162</v>
      </c>
      <c r="E724" t="s">
        <v>347</v>
      </c>
      <c r="F724">
        <v>0</v>
      </c>
      <c r="G724">
        <v>2000</v>
      </c>
      <c r="H724">
        <v>890.5</v>
      </c>
      <c r="I724" s="90">
        <v>2890.5</v>
      </c>
      <c r="J724" s="90" t="s">
        <v>257</v>
      </c>
      <c r="K724" s="90" t="s">
        <v>451</v>
      </c>
      <c r="L724" t="s">
        <v>257</v>
      </c>
    </row>
    <row r="725" spans="1:12" x14ac:dyDescent="0.25">
      <c r="A725" t="s">
        <v>257</v>
      </c>
      <c r="B725" t="s">
        <v>483</v>
      </c>
      <c r="C725" s="138" t="s">
        <v>161</v>
      </c>
      <c r="D725" t="s">
        <v>162</v>
      </c>
      <c r="E725" t="s">
        <v>347</v>
      </c>
      <c r="F725">
        <v>0</v>
      </c>
      <c r="G725">
        <v>2000</v>
      </c>
      <c r="H725">
        <v>4597.14</v>
      </c>
      <c r="I725" s="90">
        <v>6597.14</v>
      </c>
      <c r="J725" s="90" t="s">
        <v>257</v>
      </c>
      <c r="K725" s="90" t="s">
        <v>451</v>
      </c>
      <c r="L725" t="s">
        <v>257</v>
      </c>
    </row>
    <row r="726" spans="1:12" x14ac:dyDescent="0.25">
      <c r="A726" t="s">
        <v>257</v>
      </c>
      <c r="B726" t="s">
        <v>483</v>
      </c>
      <c r="C726" s="138" t="s">
        <v>161</v>
      </c>
      <c r="D726" t="s">
        <v>162</v>
      </c>
      <c r="E726" t="s">
        <v>347</v>
      </c>
      <c r="F726">
        <v>0</v>
      </c>
      <c r="G726">
        <v>2000</v>
      </c>
      <c r="H726">
        <v>4597.14</v>
      </c>
      <c r="I726" s="90">
        <v>6597.14</v>
      </c>
      <c r="J726" s="90" t="s">
        <v>257</v>
      </c>
      <c r="K726" s="90" t="s">
        <v>451</v>
      </c>
      <c r="L726" t="s">
        <v>257</v>
      </c>
    </row>
    <row r="727" spans="1:12" x14ac:dyDescent="0.25">
      <c r="A727" t="s">
        <v>257</v>
      </c>
      <c r="B727" t="s">
        <v>483</v>
      </c>
      <c r="C727" s="138" t="s">
        <v>161</v>
      </c>
      <c r="D727" t="s">
        <v>162</v>
      </c>
      <c r="E727" t="s">
        <v>347</v>
      </c>
      <c r="F727">
        <v>0</v>
      </c>
      <c r="G727">
        <v>2000</v>
      </c>
      <c r="H727">
        <v>4737.99</v>
      </c>
      <c r="I727" s="90">
        <v>6737.99</v>
      </c>
      <c r="J727" s="90" t="s">
        <v>257</v>
      </c>
      <c r="K727" s="90" t="s">
        <v>451</v>
      </c>
      <c r="L727" t="s">
        <v>107</v>
      </c>
    </row>
    <row r="728" spans="1:12" x14ac:dyDescent="0.25">
      <c r="A728" t="s">
        <v>257</v>
      </c>
      <c r="B728" t="s">
        <v>483</v>
      </c>
      <c r="C728" s="138" t="s">
        <v>161</v>
      </c>
      <c r="D728" t="s">
        <v>162</v>
      </c>
      <c r="E728" t="s">
        <v>347</v>
      </c>
      <c r="F728">
        <v>0</v>
      </c>
      <c r="G728">
        <v>2000</v>
      </c>
      <c r="H728">
        <v>4737.99</v>
      </c>
      <c r="I728" s="90">
        <v>6737.99</v>
      </c>
      <c r="J728" s="90" t="s">
        <v>257</v>
      </c>
      <c r="K728" s="90" t="s">
        <v>451</v>
      </c>
      <c r="L728" t="s">
        <v>107</v>
      </c>
    </row>
    <row r="729" spans="1:12" x14ac:dyDescent="0.25">
      <c r="A729" t="s">
        <v>257</v>
      </c>
      <c r="B729" t="s">
        <v>304</v>
      </c>
      <c r="C729" s="138" t="s">
        <v>44</v>
      </c>
      <c r="D729" t="s">
        <v>45</v>
      </c>
      <c r="E729" t="s">
        <v>345</v>
      </c>
      <c r="F729">
        <v>0</v>
      </c>
      <c r="G729">
        <v>955.36</v>
      </c>
      <c r="H729">
        <v>729.4900000000004</v>
      </c>
      <c r="I729" s="90">
        <v>1684.8500000000004</v>
      </c>
      <c r="J729" s="90" t="s">
        <v>257</v>
      </c>
      <c r="K729" s="90" t="s">
        <v>451</v>
      </c>
      <c r="L729" t="s">
        <v>257</v>
      </c>
    </row>
    <row r="730" spans="1:12" x14ac:dyDescent="0.25">
      <c r="A730" t="s">
        <v>257</v>
      </c>
      <c r="B730" t="s">
        <v>293</v>
      </c>
      <c r="C730" s="138" t="s">
        <v>60</v>
      </c>
      <c r="D730" t="s">
        <v>61</v>
      </c>
      <c r="E730" t="s">
        <v>345</v>
      </c>
      <c r="F730">
        <v>0</v>
      </c>
      <c r="G730">
        <v>2360</v>
      </c>
      <c r="H730">
        <v>748.6999999999998</v>
      </c>
      <c r="I730" s="90">
        <v>3108.7</v>
      </c>
      <c r="J730" s="90" t="s">
        <v>257</v>
      </c>
      <c r="K730" s="90" t="s">
        <v>451</v>
      </c>
      <c r="L730" t="s">
        <v>257</v>
      </c>
    </row>
    <row r="731" spans="1:12" x14ac:dyDescent="0.25">
      <c r="A731" t="s">
        <v>257</v>
      </c>
      <c r="B731" t="s">
        <v>372</v>
      </c>
      <c r="C731" s="138" t="s">
        <v>108</v>
      </c>
      <c r="D731" t="s">
        <v>109</v>
      </c>
      <c r="E731" t="s">
        <v>359</v>
      </c>
      <c r="F731">
        <v>0</v>
      </c>
      <c r="G731">
        <v>3400</v>
      </c>
      <c r="H731">
        <v>966.4300000000003</v>
      </c>
      <c r="I731" s="90">
        <v>4366.43</v>
      </c>
      <c r="J731" s="90" t="s">
        <v>257</v>
      </c>
      <c r="K731" s="90" t="s">
        <v>451</v>
      </c>
      <c r="L731" t="s">
        <v>257</v>
      </c>
    </row>
    <row r="732" spans="1:12" x14ac:dyDescent="0.25">
      <c r="A732" t="s">
        <v>257</v>
      </c>
      <c r="B732" t="s">
        <v>371</v>
      </c>
      <c r="C732" s="138" t="s">
        <v>116</v>
      </c>
      <c r="D732" t="s">
        <v>81</v>
      </c>
      <c r="E732" t="s">
        <v>359</v>
      </c>
      <c r="F732">
        <v>0</v>
      </c>
      <c r="G732">
        <v>2100</v>
      </c>
      <c r="H732">
        <v>1049.04</v>
      </c>
      <c r="I732" s="90">
        <v>3149.04</v>
      </c>
      <c r="J732" s="90" t="s">
        <v>257</v>
      </c>
      <c r="K732" s="90" t="s">
        <v>451</v>
      </c>
      <c r="L732" t="s">
        <v>257</v>
      </c>
    </row>
    <row r="733" spans="1:12" x14ac:dyDescent="0.25">
      <c r="A733" t="s">
        <v>257</v>
      </c>
      <c r="B733" t="s">
        <v>370</v>
      </c>
      <c r="C733" s="138" t="s">
        <v>97</v>
      </c>
      <c r="D733" t="s">
        <v>98</v>
      </c>
      <c r="E733" t="s">
        <v>359</v>
      </c>
      <c r="F733">
        <v>0</v>
      </c>
      <c r="G733">
        <v>725</v>
      </c>
      <c r="H733">
        <v>185.3100000000001</v>
      </c>
      <c r="I733" s="90">
        <v>910.3100000000001</v>
      </c>
      <c r="J733" s="90" t="s">
        <v>257</v>
      </c>
      <c r="K733" s="90" t="s">
        <v>451</v>
      </c>
      <c r="L733" t="s">
        <v>257</v>
      </c>
    </row>
    <row r="734" spans="1:12" x14ac:dyDescent="0.25">
      <c r="A734" t="s">
        <v>257</v>
      </c>
      <c r="B734" t="s">
        <v>369</v>
      </c>
      <c r="C734" s="138" t="s">
        <v>95</v>
      </c>
      <c r="D734" t="s">
        <v>96</v>
      </c>
      <c r="E734" t="s">
        <v>365</v>
      </c>
      <c r="F734">
        <v>0</v>
      </c>
      <c r="G734">
        <v>325</v>
      </c>
      <c r="H734">
        <v>726.1599999999999</v>
      </c>
      <c r="I734" s="90">
        <v>1051.1599999999999</v>
      </c>
      <c r="J734" s="90" t="s">
        <v>257</v>
      </c>
      <c r="K734" s="90" t="s">
        <v>451</v>
      </c>
      <c r="L734" t="s">
        <v>257</v>
      </c>
    </row>
    <row r="735" spans="1:12" x14ac:dyDescent="0.25">
      <c r="A735" t="s">
        <v>257</v>
      </c>
      <c r="B735" t="s">
        <v>214</v>
      </c>
      <c r="C735" s="138" t="s">
        <v>215</v>
      </c>
      <c r="D735" t="s">
        <v>216</v>
      </c>
      <c r="E735" t="s">
        <v>257</v>
      </c>
      <c r="F735">
        <v>0</v>
      </c>
      <c r="G735">
        <v>4000</v>
      </c>
      <c r="H735">
        <v>606.4100000000001</v>
      </c>
      <c r="I735" s="90">
        <v>4606.41</v>
      </c>
      <c r="J735" s="90" t="s">
        <v>257</v>
      </c>
      <c r="K735" s="90" t="s">
        <v>451</v>
      </c>
      <c r="L735" t="s">
        <v>110</v>
      </c>
    </row>
    <row r="736" spans="1:12" x14ac:dyDescent="0.25">
      <c r="A736" t="s">
        <v>257</v>
      </c>
      <c r="B736" t="s">
        <v>214</v>
      </c>
      <c r="C736" s="138" t="s">
        <v>215</v>
      </c>
      <c r="D736" t="s">
        <v>216</v>
      </c>
      <c r="E736" t="s">
        <v>257</v>
      </c>
      <c r="F736">
        <v>0</v>
      </c>
      <c r="G736">
        <v>4000</v>
      </c>
      <c r="H736">
        <v>606.4100000000001</v>
      </c>
      <c r="I736" s="90">
        <v>4606.41</v>
      </c>
      <c r="J736" s="90" t="s">
        <v>257</v>
      </c>
      <c r="K736" s="90" t="s">
        <v>451</v>
      </c>
      <c r="L736" t="s">
        <v>110</v>
      </c>
    </row>
    <row r="737" spans="1:12" x14ac:dyDescent="0.25">
      <c r="A737" t="s">
        <v>257</v>
      </c>
      <c r="B737" t="s">
        <v>79</v>
      </c>
      <c r="C737" s="138" t="s">
        <v>80</v>
      </c>
      <c r="D737" t="s">
        <v>81</v>
      </c>
      <c r="E737" t="s">
        <v>351</v>
      </c>
      <c r="F737">
        <v>0</v>
      </c>
      <c r="G737">
        <v>1400</v>
      </c>
      <c r="H737">
        <v>290.46</v>
      </c>
      <c r="I737" s="90">
        <v>1690.46</v>
      </c>
      <c r="J737" s="90" t="s">
        <v>257</v>
      </c>
      <c r="K737" s="90" t="s">
        <v>451</v>
      </c>
      <c r="L737" t="s">
        <v>257</v>
      </c>
    </row>
    <row r="738" spans="1:12" x14ac:dyDescent="0.25">
      <c r="A738" t="s">
        <v>257</v>
      </c>
      <c r="B738" t="s">
        <v>87</v>
      </c>
      <c r="C738" s="138" t="s">
        <v>88</v>
      </c>
      <c r="D738" t="s">
        <v>86</v>
      </c>
      <c r="E738" t="s">
        <v>359</v>
      </c>
      <c r="F738">
        <v>0</v>
      </c>
      <c r="G738">
        <v>3072.8</v>
      </c>
      <c r="H738">
        <v>32.13000000000028</v>
      </c>
      <c r="I738" s="90">
        <v>3104.9300000000003</v>
      </c>
      <c r="J738" s="90" t="s">
        <v>257</v>
      </c>
      <c r="K738" s="90" t="s">
        <v>451</v>
      </c>
      <c r="L738" t="s">
        <v>257</v>
      </c>
    </row>
    <row r="739" spans="1:12" x14ac:dyDescent="0.25">
      <c r="A739" t="s">
        <v>257</v>
      </c>
      <c r="B739" t="s">
        <v>366</v>
      </c>
      <c r="C739" s="138" t="s">
        <v>91</v>
      </c>
      <c r="D739" t="s">
        <v>92</v>
      </c>
      <c r="E739" t="s">
        <v>359</v>
      </c>
      <c r="F739">
        <v>0</v>
      </c>
      <c r="G739">
        <v>2174.8</v>
      </c>
      <c r="H739">
        <v>0</v>
      </c>
      <c r="I739" s="90">
        <v>2174.8</v>
      </c>
      <c r="J739" s="90" t="s">
        <v>257</v>
      </c>
      <c r="K739" s="90" t="s">
        <v>451</v>
      </c>
      <c r="L739" t="s">
        <v>257</v>
      </c>
    </row>
    <row r="740" spans="1:12" x14ac:dyDescent="0.25">
      <c r="A740" t="s">
        <v>257</v>
      </c>
      <c r="B740" t="s">
        <v>367</v>
      </c>
      <c r="C740" s="138" t="s">
        <v>93</v>
      </c>
      <c r="D740" t="s">
        <v>94</v>
      </c>
      <c r="E740" t="s">
        <v>368</v>
      </c>
      <c r="F740">
        <v>0</v>
      </c>
      <c r="G740">
        <v>925</v>
      </c>
      <c r="H740">
        <v>485.4399999999998</v>
      </c>
      <c r="I740" s="90">
        <v>1410.4399999999998</v>
      </c>
      <c r="J740" s="90" t="s">
        <v>257</v>
      </c>
      <c r="K740" s="90" t="s">
        <v>451</v>
      </c>
      <c r="L740" t="s">
        <v>257</v>
      </c>
    </row>
    <row r="741" spans="1:12" x14ac:dyDescent="0.25">
      <c r="A741" t="s">
        <v>257</v>
      </c>
      <c r="B741" t="s">
        <v>84</v>
      </c>
      <c r="C741" s="138" t="s">
        <v>85</v>
      </c>
      <c r="D741" t="s">
        <v>86</v>
      </c>
      <c r="E741" t="s">
        <v>365</v>
      </c>
      <c r="F741">
        <v>0</v>
      </c>
      <c r="G741">
        <v>1190</v>
      </c>
      <c r="H741">
        <v>529.95</v>
      </c>
      <c r="I741" s="90">
        <v>1719.95</v>
      </c>
      <c r="J741" s="90" t="s">
        <v>257</v>
      </c>
      <c r="K741" s="90" t="s">
        <v>451</v>
      </c>
      <c r="L741" t="s">
        <v>257</v>
      </c>
    </row>
    <row r="742" spans="1:13" x14ac:dyDescent="0.25">
      <c r="A742" t="s">
        <v>257</v>
      </c>
      <c r="B742" t="s">
        <v>82</v>
      </c>
      <c r="C742" s="138" t="s">
        <v>83</v>
      </c>
      <c r="D742" t="s">
        <v>74</v>
      </c>
      <c r="E742" t="s">
        <v>359</v>
      </c>
      <c r="F742">
        <v>0</v>
      </c>
      <c r="G742">
        <v>1175</v>
      </c>
      <c r="H742">
        <v>566.67</v>
      </c>
      <c r="I742" s="90">
        <v>1741.67</v>
      </c>
      <c r="J742" s="90" t="s">
        <v>257</v>
      </c>
      <c r="K742" s="90" t="s">
        <v>451</v>
      </c>
      <c r="L742" t="s">
        <v>257</v>
      </c>
    </row>
    <row r="743" spans="1:13" x14ac:dyDescent="0.25">
      <c r="A743" t="s">
        <v>257</v>
      </c>
      <c r="B743" t="s">
        <v>364</v>
      </c>
      <c r="C743" s="138" t="s">
        <v>89</v>
      </c>
      <c r="D743" t="s">
        <v>90</v>
      </c>
      <c r="E743" t="s">
        <v>365</v>
      </c>
      <c r="F743">
        <v>0</v>
      </c>
      <c r="G743">
        <v>2500</v>
      </c>
      <c r="H743">
        <v>1030.94</v>
      </c>
      <c r="I743" s="90">
        <v>3530.94</v>
      </c>
      <c r="J743" s="90" t="s">
        <v>257</v>
      </c>
      <c r="K743" s="90" t="s">
        <v>451</v>
      </c>
      <c r="L743" t="s">
        <v>257</v>
      </c>
    </row>
    <row r="744" spans="1:13" x14ac:dyDescent="0.25">
      <c r="A744" t="s">
        <v>257</v>
      </c>
      <c r="B744" t="s">
        <v>452</v>
      </c>
      <c r="C744" s="138" t="s">
        <v>449</v>
      </c>
      <c r="D744" t="s">
        <v>450</v>
      </c>
      <c r="E744" t="s">
        <v>257</v>
      </c>
      <c r="F744">
        <v>0</v>
      </c>
      <c r="G744">
        <v>7000</v>
      </c>
      <c r="H744">
        <v>406.8</v>
      </c>
      <c r="I744" s="90">
        <v>7406.8</v>
      </c>
      <c r="J744" s="90" t="s">
        <v>257</v>
      </c>
      <c r="K744" s="90" t="s">
        <v>451</v>
      </c>
      <c r="L744" t="s">
        <v>129</v>
      </c>
    </row>
    <row r="745" spans="1:13" x14ac:dyDescent="0.25">
      <c r="A745" t="s">
        <v>257</v>
      </c>
      <c r="B745" t="s">
        <v>453</v>
      </c>
      <c r="C745" s="138" t="s">
        <v>447</v>
      </c>
      <c r="D745" t="s">
        <v>448</v>
      </c>
      <c r="E745" t="s">
        <v>257</v>
      </c>
      <c r="F745">
        <v>0</v>
      </c>
      <c r="G745">
        <v>4900</v>
      </c>
      <c r="H745">
        <v>432.8</v>
      </c>
      <c r="I745" s="90">
        <v>5332.8</v>
      </c>
      <c r="J745" s="90" t="s">
        <v>257</v>
      </c>
      <c r="K745" s="90" t="s">
        <v>451</v>
      </c>
      <c r="L745" t="s">
        <v>107</v>
      </c>
    </row>
    <row r="746" spans="1:13" x14ac:dyDescent="0.25">
      <c r="A746" t="s">
        <v>257</v>
      </c>
      <c r="B746" t="s">
        <v>454</v>
      </c>
      <c r="C746" s="138" t="s">
        <v>441</v>
      </c>
      <c r="D746" t="s">
        <v>442</v>
      </c>
      <c r="E746" t="s">
        <v>257</v>
      </c>
      <c r="F746">
        <v>0</v>
      </c>
      <c r="G746">
        <v>7000</v>
      </c>
      <c r="H746">
        <v>632.6</v>
      </c>
      <c r="I746" s="90">
        <v>7632.6</v>
      </c>
      <c r="J746" s="90" t="s">
        <v>257</v>
      </c>
      <c r="K746" s="90" t="s">
        <v>451</v>
      </c>
      <c r="L746" t="s">
        <v>125</v>
      </c>
    </row>
    <row r="747" spans="1:13" x14ac:dyDescent="0.25">
      <c r="A747" t="s">
        <v>257</v>
      </c>
      <c r="B747" t="s">
        <v>454</v>
      </c>
      <c r="C747" s="138" t="s">
        <v>444</v>
      </c>
      <c r="D747" t="s">
        <v>445</v>
      </c>
      <c r="E747" t="s">
        <v>257</v>
      </c>
      <c r="F747">
        <v>0</v>
      </c>
      <c r="G747">
        <v>6000</v>
      </c>
      <c r="H747">
        <v>861.48</v>
      </c>
      <c r="I747" s="90">
        <v>6861.48</v>
      </c>
      <c r="J747" s="90" t="s">
        <v>257</v>
      </c>
      <c r="K747" s="90" t="s">
        <v>451</v>
      </c>
      <c r="L747" t="s">
        <v>113</v>
      </c>
    </row>
    <row r="748" spans="1:13" x14ac:dyDescent="0.25">
      <c r="A748" t="s">
        <v>257</v>
      </c>
      <c r="B748" t="s">
        <v>455</v>
      </c>
      <c r="C748" s="138" t="s">
        <v>435</v>
      </c>
      <c r="D748" t="s">
        <v>436</v>
      </c>
      <c r="E748" t="s">
        <v>257</v>
      </c>
      <c r="F748">
        <v>0</v>
      </c>
      <c r="G748">
        <v>6500</v>
      </c>
      <c r="H748">
        <v>981.425</v>
      </c>
      <c r="I748" s="90">
        <v>7481.425</v>
      </c>
      <c r="J748" s="90" t="s">
        <v>257</v>
      </c>
      <c r="K748" s="90" t="s">
        <v>451</v>
      </c>
      <c r="L748" t="s">
        <v>107</v>
      </c>
    </row>
    <row r="749" spans="1:13" x14ac:dyDescent="0.25">
      <c r="A749" t="s">
        <v>257</v>
      </c>
      <c r="B749" t="s">
        <v>455</v>
      </c>
      <c r="C749" s="138" t="s">
        <v>438</v>
      </c>
      <c r="D749" t="s">
        <v>439</v>
      </c>
      <c r="E749" t="s">
        <v>257</v>
      </c>
      <c r="F749">
        <v>0</v>
      </c>
      <c r="G749">
        <v>5950</v>
      </c>
      <c r="H749">
        <v>770.0949999999999</v>
      </c>
      <c r="I749" s="90">
        <v>6720.095</v>
      </c>
      <c r="J749" s="90" t="s">
        <v>257</v>
      </c>
      <c r="K749" s="90" t="s">
        <v>451</v>
      </c>
      <c r="L749" t="s">
        <v>107</v>
      </c>
    </row>
    <row r="750" spans="1:13" x14ac:dyDescent="0.25">
      <c r="A750" t="s">
        <v>257</v>
      </c>
      <c r="B750" t="s">
        <v>456</v>
      </c>
      <c r="C750" s="138" t="s">
        <v>417</v>
      </c>
      <c r="D750" t="s">
        <v>418</v>
      </c>
      <c r="E750" t="s">
        <v>257</v>
      </c>
      <c r="F750">
        <v>0</v>
      </c>
      <c r="G750">
        <v>5400</v>
      </c>
      <c r="H750">
        <v>1054.8</v>
      </c>
      <c r="I750" s="90">
        <v>6454.8</v>
      </c>
      <c r="J750" s="90" t="s">
        <v>257</v>
      </c>
      <c r="K750" s="90" t="s">
        <v>451</v>
      </c>
      <c r="L750" t="s">
        <v>107</v>
      </c>
    </row>
    <row r="751" spans="1:13" x14ac:dyDescent="0.25">
      <c r="A751" t="s">
        <v>257</v>
      </c>
      <c r="B751" t="s">
        <v>456</v>
      </c>
      <c r="C751" s="138" t="s">
        <v>419</v>
      </c>
      <c r="D751" t="s">
        <v>420</v>
      </c>
      <c r="E751" t="s">
        <v>257</v>
      </c>
      <c r="F751">
        <v>0</v>
      </c>
      <c r="G751">
        <v>5700</v>
      </c>
      <c r="H751">
        <v>494.8</v>
      </c>
      <c r="I751" s="90">
        <v>6194.8</v>
      </c>
      <c r="J751" s="90" t="s">
        <v>257</v>
      </c>
      <c r="K751" s="90" t="s">
        <v>451</v>
      </c>
      <c r="L751" t="s">
        <v>107</v>
      </c>
    </row>
    <row r="752" spans="1:13" x14ac:dyDescent="0.25">
      <c r="A752" t="s">
        <v>257</v>
      </c>
      <c r="B752" t="s">
        <v>456</v>
      </c>
      <c r="C752" s="138" t="s">
        <v>417</v>
      </c>
      <c r="D752" t="s">
        <v>418</v>
      </c>
      <c r="E752" t="s">
        <v>257</v>
      </c>
      <c r="F752">
        <v>0</v>
      </c>
      <c r="G752">
        <v>5400</v>
      </c>
      <c r="H752">
        <v>1054.8</v>
      </c>
      <c r="I752" s="90">
        <v>6454.8</v>
      </c>
      <c r="J752" s="90" t="s">
        <v>257</v>
      </c>
      <c r="K752" s="90" t="s">
        <v>451</v>
      </c>
      <c r="L752" t="s">
        <v>107</v>
      </c>
    </row>
    <row r="753" spans="1:13" x14ac:dyDescent="0.25">
      <c r="A753" t="s">
        <v>257</v>
      </c>
      <c r="B753" t="s">
        <v>456</v>
      </c>
      <c r="C753" s="138" t="s">
        <v>419</v>
      </c>
      <c r="D753" t="s">
        <v>420</v>
      </c>
      <c r="E753" t="s">
        <v>257</v>
      </c>
      <c r="F753">
        <v>0</v>
      </c>
      <c r="G753">
        <v>5700</v>
      </c>
      <c r="H753">
        <v>494.8</v>
      </c>
      <c r="I753" s="90">
        <v>6194.8</v>
      </c>
      <c r="J753" s="90" t="s">
        <v>257</v>
      </c>
      <c r="K753" s="90" t="s">
        <v>451</v>
      </c>
      <c r="L753" t="s">
        <v>107</v>
      </c>
    </row>
    <row r="754" spans="1:13" x14ac:dyDescent="0.25">
      <c r="A754" t="s">
        <v>257</v>
      </c>
      <c r="B754" t="s">
        <v>457</v>
      </c>
      <c r="C754" s="138" t="s">
        <v>414</v>
      </c>
      <c r="D754" t="s">
        <v>415</v>
      </c>
      <c r="E754" t="s">
        <v>257</v>
      </c>
      <c r="F754">
        <v>0</v>
      </c>
      <c r="G754">
        <v>7964</v>
      </c>
      <c r="H754">
        <v>1222.0299999999997</v>
      </c>
      <c r="I754" s="90">
        <v>9186.029999999999</v>
      </c>
      <c r="J754" s="90" t="s">
        <v>257</v>
      </c>
      <c r="K754" s="90" t="s">
        <v>451</v>
      </c>
      <c r="L754" t="s">
        <v>129</v>
      </c>
    </row>
    <row r="755" spans="1:13" x14ac:dyDescent="0.25">
      <c r="A755" t="s">
        <v>257</v>
      </c>
      <c r="B755" t="s">
        <v>457</v>
      </c>
      <c r="C755" s="138" t="s">
        <v>414</v>
      </c>
      <c r="D755" t="s">
        <v>415</v>
      </c>
      <c r="E755" t="s">
        <v>257</v>
      </c>
      <c r="F755">
        <v>0</v>
      </c>
      <c r="G755">
        <v>7964</v>
      </c>
      <c r="H755">
        <v>1222.0299999999997</v>
      </c>
      <c r="I755" s="90">
        <v>9186.029999999999</v>
      </c>
      <c r="J755" s="90" t="s">
        <v>257</v>
      </c>
      <c r="K755" s="90" t="s">
        <v>451</v>
      </c>
      <c r="L755" t="s">
        <v>129</v>
      </c>
    </row>
    <row r="756" spans="1:13" x14ac:dyDescent="0.25">
      <c r="A756" t="s">
        <v>257</v>
      </c>
      <c r="B756" t="s">
        <v>457</v>
      </c>
      <c r="C756" s="138" t="s">
        <v>431</v>
      </c>
      <c r="D756" t="s">
        <v>432</v>
      </c>
      <c r="E756" t="s">
        <v>257</v>
      </c>
      <c r="F756">
        <v>0</v>
      </c>
      <c r="G756">
        <v>8231.69</v>
      </c>
      <c r="H756">
        <v>100.62</v>
      </c>
      <c r="I756" s="90">
        <v>8332.310000000001</v>
      </c>
      <c r="J756" s="90" t="s">
        <v>257</v>
      </c>
      <c r="K756" s="90" t="s">
        <v>451</v>
      </c>
      <c r="L756" t="s">
        <v>107</v>
      </c>
    </row>
    <row r="757" spans="1:13" x14ac:dyDescent="0.25">
      <c r="A757" t="s">
        <v>257</v>
      </c>
      <c r="B757" t="s">
        <v>458</v>
      </c>
      <c r="C757" s="138" t="s">
        <v>412</v>
      </c>
      <c r="D757" t="s">
        <v>413</v>
      </c>
      <c r="E757" t="s">
        <v>257</v>
      </c>
      <c r="F757">
        <v>0</v>
      </c>
      <c r="G757">
        <v>5950</v>
      </c>
      <c r="H757">
        <v>459.99</v>
      </c>
      <c r="I757" s="90">
        <v>6409.99</v>
      </c>
      <c r="J757" s="90" t="s">
        <v>257</v>
      </c>
      <c r="K757" s="90" t="s">
        <v>451</v>
      </c>
      <c r="L757" t="s">
        <v>392</v>
      </c>
    </row>
    <row r="758" spans="1:13" x14ac:dyDescent="0.25">
      <c r="A758" t="s">
        <v>257</v>
      </c>
      <c r="B758" t="s">
        <v>458</v>
      </c>
      <c r="C758" s="138" t="s">
        <v>412</v>
      </c>
      <c r="D758" t="s">
        <v>413</v>
      </c>
      <c r="E758" t="s">
        <v>257</v>
      </c>
      <c r="F758">
        <v>0</v>
      </c>
      <c r="G758">
        <v>5950</v>
      </c>
      <c r="H758">
        <v>459.99</v>
      </c>
      <c r="I758" s="90">
        <v>6409.99</v>
      </c>
      <c r="J758" s="90" t="s">
        <v>257</v>
      </c>
      <c r="K758" s="90" t="s">
        <v>451</v>
      </c>
      <c r="L758" t="s">
        <v>392</v>
      </c>
    </row>
    <row r="759" spans="1:13" x14ac:dyDescent="0.25">
      <c r="A759" t="s">
        <v>257</v>
      </c>
      <c r="B759" t="s">
        <v>319</v>
      </c>
      <c r="C759" s="138" t="s">
        <v>230</v>
      </c>
      <c r="D759" t="s">
        <v>231</v>
      </c>
      <c r="E759" t="s">
        <v>257</v>
      </c>
      <c r="F759">
        <v>0</v>
      </c>
      <c r="G759">
        <v>7725</v>
      </c>
      <c r="H759">
        <v>521.7</v>
      </c>
      <c r="I759" s="90">
        <v>8246.7</v>
      </c>
      <c r="J759" s="90" t="s">
        <v>257</v>
      </c>
      <c r="K759" s="90" t="s">
        <v>451</v>
      </c>
      <c r="L759" t="s">
        <v>129</v>
      </c>
    </row>
    <row r="760" spans="1:13" x14ac:dyDescent="0.25">
      <c r="A760" t="s">
        <v>257</v>
      </c>
      <c r="B760" t="s">
        <v>319</v>
      </c>
      <c r="C760" s="138" t="s">
        <v>247</v>
      </c>
      <c r="D760" t="s">
        <v>248</v>
      </c>
      <c r="E760" t="s">
        <v>257</v>
      </c>
      <c r="F760">
        <v>0</v>
      </c>
      <c r="G760">
        <v>8000</v>
      </c>
      <c r="H760">
        <v>558.78</v>
      </c>
      <c r="I760" s="90">
        <v>8558.78</v>
      </c>
      <c r="J760" s="90" t="s">
        <v>257</v>
      </c>
      <c r="K760" s="90" t="s">
        <v>451</v>
      </c>
      <c r="L760" t="s">
        <v>110</v>
      </c>
    </row>
    <row r="761" spans="1:13" x14ac:dyDescent="0.25">
      <c r="A761" t="s">
        <v>257</v>
      </c>
      <c r="B761" t="s">
        <v>319</v>
      </c>
      <c r="C761" s="138" t="s">
        <v>247</v>
      </c>
      <c r="D761" t="s">
        <v>248</v>
      </c>
      <c r="E761" t="s">
        <v>257</v>
      </c>
      <c r="F761">
        <v>0</v>
      </c>
      <c r="G761">
        <v>8000</v>
      </c>
      <c r="H761">
        <v>558.78</v>
      </c>
      <c r="I761" s="90">
        <v>8558.78</v>
      </c>
      <c r="J761" s="90" t="s">
        <v>257</v>
      </c>
      <c r="K761" s="90" t="s">
        <v>451</v>
      </c>
      <c r="L761" t="s">
        <v>110</v>
      </c>
    </row>
    <row r="762" spans="1:13" x14ac:dyDescent="0.25">
      <c r="A762" t="s">
        <v>257</v>
      </c>
      <c r="B762" t="s">
        <v>316</v>
      </c>
      <c r="C762" s="138" t="s">
        <v>251</v>
      </c>
      <c r="D762" t="s">
        <v>252</v>
      </c>
      <c r="E762" t="s">
        <v>377</v>
      </c>
      <c r="F762">
        <v>0</v>
      </c>
      <c r="G762">
        <v>7300</v>
      </c>
      <c r="H762">
        <v>644.275</v>
      </c>
      <c r="I762" s="90">
        <v>7944.275</v>
      </c>
      <c r="J762" s="90" t="s">
        <v>257</v>
      </c>
      <c r="K762" s="90" t="s">
        <v>451</v>
      </c>
      <c r="L762" t="s">
        <v>113</v>
      </c>
    </row>
    <row r="763" spans="1:13" x14ac:dyDescent="0.25">
      <c r="A763" t="s">
        <v>257</v>
      </c>
      <c r="B763" t="s">
        <v>316</v>
      </c>
      <c r="C763" s="138" t="s">
        <v>410</v>
      </c>
      <c r="D763" t="s">
        <v>411</v>
      </c>
      <c r="E763" t="s">
        <v>257</v>
      </c>
      <c r="F763">
        <v>0</v>
      </c>
      <c r="G763">
        <v>5850</v>
      </c>
      <c r="H763">
        <v>851.75</v>
      </c>
      <c r="I763" s="90">
        <v>6701.75</v>
      </c>
      <c r="J763" s="90" t="s">
        <v>257</v>
      </c>
      <c r="K763" s="90" t="s">
        <v>451</v>
      </c>
      <c r="L763" t="s">
        <v>110</v>
      </c>
    </row>
    <row r="764" spans="1:13" x14ac:dyDescent="0.25">
      <c r="A764" t="s">
        <v>257</v>
      </c>
      <c r="B764" t="s">
        <v>316</v>
      </c>
      <c r="C764" s="138" t="s">
        <v>251</v>
      </c>
      <c r="D764" t="s">
        <v>252</v>
      </c>
      <c r="E764" t="s">
        <v>377</v>
      </c>
      <c r="F764">
        <v>0</v>
      </c>
      <c r="G764">
        <v>7300</v>
      </c>
      <c r="H764">
        <v>644.275</v>
      </c>
      <c r="I764" s="90">
        <v>7944.275</v>
      </c>
      <c r="J764" s="90" t="s">
        <v>257</v>
      </c>
      <c r="K764" s="90" t="s">
        <v>451</v>
      </c>
      <c r="L764" t="s">
        <v>113</v>
      </c>
    </row>
    <row r="765" spans="1:13" x14ac:dyDescent="0.25">
      <c r="A765" t="s">
        <v>257</v>
      </c>
      <c r="B765" t="s">
        <v>316</v>
      </c>
      <c r="C765" s="138" t="s">
        <v>410</v>
      </c>
      <c r="D765" t="s">
        <v>411</v>
      </c>
      <c r="E765" t="s">
        <v>257</v>
      </c>
      <c r="F765">
        <v>0</v>
      </c>
      <c r="G765">
        <v>5850</v>
      </c>
      <c r="H765">
        <v>851.75</v>
      </c>
      <c r="I765" s="90">
        <v>6701.75</v>
      </c>
      <c r="J765" s="90" t="s">
        <v>257</v>
      </c>
      <c r="K765" s="90" t="s">
        <v>451</v>
      </c>
      <c r="L765" t="s">
        <v>110</v>
      </c>
    </row>
    <row r="766" spans="1:13" x14ac:dyDescent="0.25">
      <c r="A766" t="s">
        <v>257</v>
      </c>
      <c r="B766" t="s">
        <v>459</v>
      </c>
      <c r="C766" s="138" t="s">
        <v>409</v>
      </c>
      <c r="D766" t="s">
        <v>134</v>
      </c>
      <c r="E766" t="s">
        <v>365</v>
      </c>
      <c r="F766">
        <v>0</v>
      </c>
      <c r="G766">
        <v>4800</v>
      </c>
      <c r="H766">
        <v>295.15999999999997</v>
      </c>
      <c r="I766" s="90">
        <v>5095.16</v>
      </c>
      <c r="J766" s="90" t="s">
        <v>257</v>
      </c>
      <c r="K766" s="90" t="s">
        <v>451</v>
      </c>
      <c r="L766" t="s">
        <v>125</v>
      </c>
    </row>
    <row r="767" spans="1:13" x14ac:dyDescent="0.25">
      <c r="A767" t="s">
        <v>257</v>
      </c>
      <c r="B767" t="s">
        <v>459</v>
      </c>
      <c r="C767" s="138" t="s">
        <v>409</v>
      </c>
      <c r="D767" t="s">
        <v>134</v>
      </c>
      <c r="E767" t="s">
        <v>365</v>
      </c>
      <c r="F767">
        <v>0</v>
      </c>
      <c r="G767">
        <v>4800</v>
      </c>
      <c r="H767">
        <v>295.15999999999997</v>
      </c>
      <c r="I767" s="90">
        <v>5095.16</v>
      </c>
      <c r="J767" s="90" t="s">
        <v>257</v>
      </c>
      <c r="K767" s="90" t="s">
        <v>451</v>
      </c>
      <c r="L767" t="s">
        <v>125</v>
      </c>
    </row>
    <row r="768" spans="1:13" x14ac:dyDescent="0.25">
      <c r="A768" t="s">
        <v>257</v>
      </c>
      <c r="B768" t="s">
        <v>460</v>
      </c>
      <c r="C768" s="138" t="s">
        <v>408</v>
      </c>
      <c r="D768" t="s">
        <v>233</v>
      </c>
      <c r="E768" t="s">
        <v>257</v>
      </c>
      <c r="F768">
        <v>0</v>
      </c>
      <c r="G768">
        <v>5300</v>
      </c>
      <c r="H768">
        <v>702.8</v>
      </c>
      <c r="I768" s="90">
        <v>6002.8</v>
      </c>
      <c r="J768" s="90" t="s">
        <v>257</v>
      </c>
      <c r="K768" s="90" t="s">
        <v>451</v>
      </c>
      <c r="L768" t="s">
        <v>392</v>
      </c>
    </row>
    <row r="769" spans="1:13" x14ac:dyDescent="0.25">
      <c r="A769" t="s">
        <v>257</v>
      </c>
      <c r="B769" t="s">
        <v>460</v>
      </c>
      <c r="C769" s="138" t="s">
        <v>408</v>
      </c>
      <c r="D769" t="s">
        <v>233</v>
      </c>
      <c r="E769" t="s">
        <v>257</v>
      </c>
      <c r="F769">
        <v>0</v>
      </c>
      <c r="G769">
        <v>5300</v>
      </c>
      <c r="H769">
        <v>702.8</v>
      </c>
      <c r="I769" s="90">
        <v>6002.8</v>
      </c>
      <c r="J769" s="90" t="s">
        <v>257</v>
      </c>
      <c r="K769" s="90" t="s">
        <v>451</v>
      </c>
      <c r="L769" t="s">
        <v>392</v>
      </c>
    </row>
    <row r="770" spans="1:13" x14ac:dyDescent="0.25">
      <c r="A770" t="s">
        <v>257</v>
      </c>
      <c r="B770" t="s">
        <v>461</v>
      </c>
      <c r="C770" s="138" t="s">
        <v>407</v>
      </c>
      <c r="D770" t="s">
        <v>233</v>
      </c>
      <c r="E770" t="s">
        <v>257</v>
      </c>
      <c r="F770">
        <v>0</v>
      </c>
      <c r="G770">
        <v>7100</v>
      </c>
      <c r="H770">
        <v>852.26</v>
      </c>
      <c r="I770" s="90">
        <v>7952.26</v>
      </c>
      <c r="J770" s="90" t="s">
        <v>257</v>
      </c>
      <c r="K770" s="90" t="s">
        <v>451</v>
      </c>
      <c r="L770" t="s">
        <v>107</v>
      </c>
    </row>
    <row r="771" spans="1:13" x14ac:dyDescent="0.25">
      <c r="A771" t="s">
        <v>257</v>
      </c>
      <c r="B771" t="s">
        <v>461</v>
      </c>
      <c r="C771" s="138" t="s">
        <v>407</v>
      </c>
      <c r="D771" t="s">
        <v>233</v>
      </c>
      <c r="E771" t="s">
        <v>257</v>
      </c>
      <c r="F771">
        <v>0</v>
      </c>
      <c r="G771">
        <v>7100</v>
      </c>
      <c r="H771">
        <v>852.26</v>
      </c>
      <c r="I771" s="90">
        <v>7952.26</v>
      </c>
      <c r="J771" s="90" t="s">
        <v>257</v>
      </c>
      <c r="K771" s="90" t="s">
        <v>451</v>
      </c>
      <c r="L771" t="s">
        <v>107</v>
      </c>
    </row>
    <row r="772" spans="1:13" x14ac:dyDescent="0.25">
      <c r="A772" t="s">
        <v>257</v>
      </c>
      <c r="B772" t="s">
        <v>305</v>
      </c>
      <c r="C772" s="138" t="s">
        <v>232</v>
      </c>
      <c r="D772" t="s">
        <v>233</v>
      </c>
      <c r="E772" t="s">
        <v>257</v>
      </c>
      <c r="F772">
        <v>5500</v>
      </c>
      <c r="G772">
        <v>3093.24</v>
      </c>
      <c r="H772">
        <v>292.28999999999996</v>
      </c>
      <c r="I772" s="90">
        <v>3385.5299999999997</v>
      </c>
      <c r="J772" s="90" t="s">
        <v>257</v>
      </c>
      <c r="K772" s="90" t="s">
        <v>451</v>
      </c>
      <c r="L772" t="s">
        <v>107</v>
      </c>
    </row>
    <row r="773" spans="1:13" x14ac:dyDescent="0.25">
      <c r="A773" t="s">
        <v>257</v>
      </c>
      <c r="B773" t="s">
        <v>462</v>
      </c>
      <c r="C773" s="138" t="s">
        <v>403</v>
      </c>
      <c r="D773" t="s">
        <v>404</v>
      </c>
      <c r="E773" t="s">
        <v>257</v>
      </c>
      <c r="F773">
        <v>0</v>
      </c>
      <c r="G773">
        <v>6425</v>
      </c>
      <c r="H773">
        <v>664.8</v>
      </c>
      <c r="I773" s="90">
        <v>7089.8</v>
      </c>
      <c r="J773" s="90" t="s">
        <v>257</v>
      </c>
      <c r="K773" s="90" t="s">
        <v>451</v>
      </c>
      <c r="L773" t="s">
        <v>113</v>
      </c>
    </row>
    <row r="774" spans="1:13" x14ac:dyDescent="0.25">
      <c r="A774" t="s">
        <v>257</v>
      </c>
      <c r="B774" t="s">
        <v>462</v>
      </c>
      <c r="C774" s="138" t="s">
        <v>403</v>
      </c>
      <c r="D774" t="s">
        <v>404</v>
      </c>
      <c r="E774" t="s">
        <v>257</v>
      </c>
      <c r="F774">
        <v>0</v>
      </c>
      <c r="G774">
        <v>6425</v>
      </c>
      <c r="H774">
        <v>664.8</v>
      </c>
      <c r="I774" s="90">
        <v>7089.8</v>
      </c>
      <c r="J774" s="90" t="s">
        <v>257</v>
      </c>
      <c r="K774" s="90" t="s">
        <v>451</v>
      </c>
      <c r="L774" t="s">
        <v>113</v>
      </c>
    </row>
    <row r="775" spans="1:13" x14ac:dyDescent="0.25">
      <c r="A775" t="s">
        <v>257</v>
      </c>
      <c r="B775" t="s">
        <v>462</v>
      </c>
      <c r="C775" s="138" t="s">
        <v>405</v>
      </c>
      <c r="D775" t="s">
        <v>406</v>
      </c>
      <c r="E775" t="s">
        <v>257</v>
      </c>
      <c r="F775">
        <v>0</v>
      </c>
      <c r="G775">
        <v>6000</v>
      </c>
      <c r="H775">
        <v>605.9</v>
      </c>
      <c r="I775" s="90">
        <v>6605.9</v>
      </c>
      <c r="J775" s="90" t="s">
        <v>257</v>
      </c>
      <c r="K775" s="90" t="s">
        <v>451</v>
      </c>
      <c r="L775" t="s">
        <v>113</v>
      </c>
    </row>
    <row r="776" spans="1:13" x14ac:dyDescent="0.25">
      <c r="A776" t="s">
        <v>257</v>
      </c>
      <c r="B776" t="s">
        <v>462</v>
      </c>
      <c r="C776" s="138" t="s">
        <v>403</v>
      </c>
      <c r="D776" t="s">
        <v>404</v>
      </c>
      <c r="E776" t="s">
        <v>257</v>
      </c>
      <c r="F776">
        <v>0</v>
      </c>
      <c r="G776">
        <v>6425</v>
      </c>
      <c r="H776">
        <v>664.8</v>
      </c>
      <c r="I776" s="90">
        <v>7089.8</v>
      </c>
      <c r="J776" s="90" t="s">
        <v>257</v>
      </c>
      <c r="K776" s="90" t="s">
        <v>451</v>
      </c>
      <c r="L776" t="s">
        <v>113</v>
      </c>
    </row>
    <row r="777" spans="1:13" x14ac:dyDescent="0.25">
      <c r="A777" t="s">
        <v>257</v>
      </c>
      <c r="B777" t="s">
        <v>462</v>
      </c>
      <c r="C777" s="138" t="s">
        <v>405</v>
      </c>
      <c r="D777" t="s">
        <v>406</v>
      </c>
      <c r="E777" t="s">
        <v>257</v>
      </c>
      <c r="F777">
        <v>0</v>
      </c>
      <c r="G777">
        <v>6000</v>
      </c>
      <c r="H777">
        <v>605.9</v>
      </c>
      <c r="I777" s="90">
        <v>6605.9</v>
      </c>
      <c r="J777" s="90" t="s">
        <v>257</v>
      </c>
      <c r="K777" s="90" t="s">
        <v>451</v>
      </c>
      <c r="L777" t="s">
        <v>113</v>
      </c>
    </row>
    <row r="778" spans="1:13" x14ac:dyDescent="0.25">
      <c r="A778" t="s">
        <v>257</v>
      </c>
      <c r="B778" t="s">
        <v>308</v>
      </c>
      <c r="C778" s="138" t="s">
        <v>241</v>
      </c>
      <c r="D778" t="s">
        <v>242</v>
      </c>
      <c r="E778" t="s">
        <v>257</v>
      </c>
      <c r="F778">
        <v>0</v>
      </c>
      <c r="G778">
        <v>7000</v>
      </c>
      <c r="H778">
        <v>491.5</v>
      </c>
      <c r="I778" s="90">
        <v>7491.5</v>
      </c>
      <c r="J778" s="90" t="s">
        <v>257</v>
      </c>
      <c r="K778" s="90" t="s">
        <v>451</v>
      </c>
      <c r="L778" t="s">
        <v>110</v>
      </c>
    </row>
    <row r="779" spans="1:13" x14ac:dyDescent="0.25">
      <c r="A779" t="s">
        <v>257</v>
      </c>
      <c r="B779" t="s">
        <v>308</v>
      </c>
      <c r="C779" s="138" t="s">
        <v>223</v>
      </c>
      <c r="D779" t="s">
        <v>401</v>
      </c>
      <c r="E779" t="s">
        <v>257</v>
      </c>
      <c r="F779">
        <v>0</v>
      </c>
      <c r="G779">
        <v>4100</v>
      </c>
      <c r="H779">
        <v>525.13</v>
      </c>
      <c r="I779" s="90">
        <v>4625.13</v>
      </c>
      <c r="J779" s="90" t="s">
        <v>257</v>
      </c>
      <c r="K779" s="90" t="s">
        <v>451</v>
      </c>
      <c r="L779" t="s">
        <v>125</v>
      </c>
    </row>
    <row r="780" spans="1:13" x14ac:dyDescent="0.25">
      <c r="A780" t="s">
        <v>257</v>
      </c>
      <c r="B780" t="s">
        <v>308</v>
      </c>
      <c r="C780" s="138" t="s">
        <v>241</v>
      </c>
      <c r="D780" t="s">
        <v>242</v>
      </c>
      <c r="E780" t="s">
        <v>257</v>
      </c>
      <c r="F780">
        <v>0</v>
      </c>
      <c r="G780">
        <v>7000</v>
      </c>
      <c r="H780">
        <v>491.5</v>
      </c>
      <c r="I780" s="90">
        <v>7491.5</v>
      </c>
      <c r="J780" s="90" t="s">
        <v>257</v>
      </c>
      <c r="K780" s="90" t="s">
        <v>451</v>
      </c>
      <c r="L780" t="s">
        <v>110</v>
      </c>
    </row>
    <row r="781" spans="1:13" x14ac:dyDescent="0.25">
      <c r="A781" t="s">
        <v>257</v>
      </c>
      <c r="B781" t="s">
        <v>308</v>
      </c>
      <c r="C781" s="138" t="s">
        <v>223</v>
      </c>
      <c r="D781" t="s">
        <v>401</v>
      </c>
      <c r="E781" t="s">
        <v>257</v>
      </c>
      <c r="F781">
        <v>0</v>
      </c>
      <c r="G781">
        <v>4100</v>
      </c>
      <c r="H781">
        <v>525.13</v>
      </c>
      <c r="I781" s="90">
        <v>4625.13</v>
      </c>
      <c r="J781" s="90" t="s">
        <v>257</v>
      </c>
      <c r="K781" s="90" t="s">
        <v>451</v>
      </c>
      <c r="L781" t="s">
        <v>125</v>
      </c>
    </row>
    <row r="782" spans="1:13" x14ac:dyDescent="0.25">
      <c r="A782" t="s">
        <v>257</v>
      </c>
      <c r="B782" t="s">
        <v>308</v>
      </c>
      <c r="C782" s="138" t="s">
        <v>241</v>
      </c>
      <c r="D782" t="s">
        <v>242</v>
      </c>
      <c r="E782" t="s">
        <v>257</v>
      </c>
      <c r="F782">
        <v>0</v>
      </c>
      <c r="G782">
        <v>7000</v>
      </c>
      <c r="H782">
        <v>491.5</v>
      </c>
      <c r="I782" s="90">
        <v>7491.5</v>
      </c>
      <c r="J782" s="90" t="s">
        <v>257</v>
      </c>
      <c r="K782" s="90" t="s">
        <v>451</v>
      </c>
      <c r="L782" t="s">
        <v>110</v>
      </c>
    </row>
    <row r="783" spans="1:13" x14ac:dyDescent="0.25">
      <c r="A783" t="s">
        <v>257</v>
      </c>
      <c r="B783" t="s">
        <v>313</v>
      </c>
      <c r="C783" s="138" t="s">
        <v>218</v>
      </c>
      <c r="D783" t="s">
        <v>219</v>
      </c>
      <c r="E783" t="s">
        <v>257</v>
      </c>
      <c r="F783">
        <v>0</v>
      </c>
      <c r="G783">
        <v>6300</v>
      </c>
      <c r="H783">
        <v>1208.91</v>
      </c>
      <c r="I783" s="90">
        <v>7508.91</v>
      </c>
      <c r="J783" s="90" t="s">
        <v>257</v>
      </c>
      <c r="K783" s="90" t="s">
        <v>451</v>
      </c>
      <c r="L783" t="s">
        <v>113</v>
      </c>
    </row>
    <row r="784" spans="1:13" x14ac:dyDescent="0.25">
      <c r="A784" t="s">
        <v>257</v>
      </c>
      <c r="B784" t="s">
        <v>313</v>
      </c>
      <c r="C784" s="138" t="s">
        <v>399</v>
      </c>
      <c r="D784" t="s">
        <v>400</v>
      </c>
      <c r="E784" t="s">
        <v>351</v>
      </c>
      <c r="F784">
        <v>0</v>
      </c>
      <c r="G784">
        <v>7900</v>
      </c>
      <c r="H784">
        <v>616.69</v>
      </c>
      <c r="I784" s="90">
        <v>8516.69</v>
      </c>
      <c r="J784" s="90" t="s">
        <v>257</v>
      </c>
      <c r="K784" s="90" t="s">
        <v>451</v>
      </c>
      <c r="L784" t="s">
        <v>129</v>
      </c>
    </row>
    <row r="785" spans="1:13" x14ac:dyDescent="0.25">
      <c r="A785" t="s">
        <v>257</v>
      </c>
      <c r="B785" t="s">
        <v>313</v>
      </c>
      <c r="C785" s="138" t="s">
        <v>218</v>
      </c>
      <c r="D785" t="s">
        <v>219</v>
      </c>
      <c r="E785" t="s">
        <v>257</v>
      </c>
      <c r="F785">
        <v>0</v>
      </c>
      <c r="G785">
        <v>6300</v>
      </c>
      <c r="H785">
        <v>1208.91</v>
      </c>
      <c r="I785" s="90">
        <v>7508.91</v>
      </c>
      <c r="J785" s="90" t="s">
        <v>257</v>
      </c>
      <c r="K785" s="90" t="s">
        <v>451</v>
      </c>
      <c r="L785" t="s">
        <v>113</v>
      </c>
    </row>
    <row r="786" spans="1:13" x14ac:dyDescent="0.25">
      <c r="A786" t="s">
        <v>257</v>
      </c>
      <c r="B786" t="s">
        <v>313</v>
      </c>
      <c r="C786" s="138" t="s">
        <v>399</v>
      </c>
      <c r="D786" t="s">
        <v>400</v>
      </c>
      <c r="E786" t="s">
        <v>351</v>
      </c>
      <c r="F786">
        <v>0</v>
      </c>
      <c r="G786">
        <v>7900</v>
      </c>
      <c r="H786">
        <v>616.69</v>
      </c>
      <c r="I786" s="90">
        <v>8516.69</v>
      </c>
      <c r="J786" s="90" t="s">
        <v>257</v>
      </c>
      <c r="K786" s="90" t="s">
        <v>451</v>
      </c>
      <c r="L786" t="s">
        <v>129</v>
      </c>
    </row>
    <row r="787" spans="1:13" x14ac:dyDescent="0.25">
      <c r="A787" t="s">
        <v>257</v>
      </c>
      <c r="B787" t="s">
        <v>313</v>
      </c>
      <c r="C787" s="138" t="s">
        <v>399</v>
      </c>
      <c r="D787" t="s">
        <v>400</v>
      </c>
      <c r="E787" t="s">
        <v>351</v>
      </c>
      <c r="F787">
        <v>0</v>
      </c>
      <c r="G787">
        <v>7900</v>
      </c>
      <c r="H787">
        <v>616.69</v>
      </c>
      <c r="I787" s="90">
        <v>8516.69</v>
      </c>
      <c r="J787" s="90" t="s">
        <v>257</v>
      </c>
      <c r="K787" s="90" t="s">
        <v>451</v>
      </c>
      <c r="L787" t="s">
        <v>129</v>
      </c>
    </row>
    <row r="788" spans="1:13" x14ac:dyDescent="0.25">
      <c r="A788" t="s">
        <v>257</v>
      </c>
      <c r="B788" t="s">
        <v>318</v>
      </c>
      <c r="C788" s="138" t="s">
        <v>244</v>
      </c>
      <c r="D788" t="s">
        <v>245</v>
      </c>
      <c r="E788" t="s">
        <v>257</v>
      </c>
      <c r="F788">
        <v>0</v>
      </c>
      <c r="G788">
        <v>6400</v>
      </c>
      <c r="H788">
        <v>593.2199999999999</v>
      </c>
      <c r="I788" s="90">
        <v>6993.22</v>
      </c>
      <c r="J788" s="90" t="s">
        <v>257</v>
      </c>
      <c r="K788" s="90" t="s">
        <v>451</v>
      </c>
      <c r="L788" t="s">
        <v>107</v>
      </c>
    </row>
    <row r="789" spans="1:13" x14ac:dyDescent="0.25">
      <c r="A789" t="s">
        <v>257</v>
      </c>
      <c r="B789" t="s">
        <v>318</v>
      </c>
      <c r="C789" s="138" t="s">
        <v>397</v>
      </c>
      <c r="D789" t="s">
        <v>229</v>
      </c>
      <c r="E789" t="s">
        <v>257</v>
      </c>
      <c r="F789">
        <v>0</v>
      </c>
      <c r="G789">
        <v>4150</v>
      </c>
      <c r="H789">
        <v>629.49</v>
      </c>
      <c r="I789" s="90">
        <v>4779.49</v>
      </c>
      <c r="J789" s="90" t="s">
        <v>257</v>
      </c>
      <c r="K789" s="90" t="s">
        <v>451</v>
      </c>
      <c r="L789" t="s">
        <v>107</v>
      </c>
    </row>
    <row r="790" spans="1:13" x14ac:dyDescent="0.25">
      <c r="A790" t="s">
        <v>257</v>
      </c>
      <c r="B790" t="s">
        <v>318</v>
      </c>
      <c r="C790" s="138" t="s">
        <v>398</v>
      </c>
      <c r="D790" t="s">
        <v>146</v>
      </c>
      <c r="E790" t="s">
        <v>257</v>
      </c>
      <c r="F790">
        <v>0</v>
      </c>
      <c r="G790">
        <v>4400</v>
      </c>
      <c r="H790">
        <v>1158.93</v>
      </c>
      <c r="I790" s="90">
        <v>5558.93</v>
      </c>
      <c r="J790" s="90" t="s">
        <v>257</v>
      </c>
      <c r="K790" s="90" t="s">
        <v>451</v>
      </c>
      <c r="L790" t="s">
        <v>106</v>
      </c>
    </row>
    <row r="791" spans="1:13" x14ac:dyDescent="0.25">
      <c r="A791" t="s">
        <v>257</v>
      </c>
      <c r="B791" t="s">
        <v>318</v>
      </c>
      <c r="C791" s="138" t="s">
        <v>244</v>
      </c>
      <c r="D791" t="s">
        <v>245</v>
      </c>
      <c r="E791" t="s">
        <v>257</v>
      </c>
      <c r="F791">
        <v>0</v>
      </c>
      <c r="G791">
        <v>6400</v>
      </c>
      <c r="H791">
        <v>593.2199999999999</v>
      </c>
      <c r="I791" s="90">
        <v>6993.22</v>
      </c>
      <c r="J791" s="90" t="s">
        <v>257</v>
      </c>
      <c r="K791" s="90" t="s">
        <v>451</v>
      </c>
      <c r="L791" t="s">
        <v>107</v>
      </c>
    </row>
    <row r="792" spans="1:13" x14ac:dyDescent="0.25">
      <c r="A792" t="s">
        <v>257</v>
      </c>
      <c r="B792" t="s">
        <v>318</v>
      </c>
      <c r="C792" s="138" t="s">
        <v>397</v>
      </c>
      <c r="D792" t="s">
        <v>229</v>
      </c>
      <c r="E792" t="s">
        <v>257</v>
      </c>
      <c r="F792">
        <v>0</v>
      </c>
      <c r="G792">
        <v>4150</v>
      </c>
      <c r="H792">
        <v>629.49</v>
      </c>
      <c r="I792" s="90">
        <v>4779.49</v>
      </c>
      <c r="J792" s="90" t="s">
        <v>257</v>
      </c>
      <c r="K792" s="90" t="s">
        <v>451</v>
      </c>
      <c r="L792" t="s">
        <v>107</v>
      </c>
    </row>
    <row r="793" spans="1:13" x14ac:dyDescent="0.25">
      <c r="A793" t="s">
        <v>257</v>
      </c>
      <c r="B793" t="s">
        <v>318</v>
      </c>
      <c r="C793" s="138" t="s">
        <v>398</v>
      </c>
      <c r="D793" t="s">
        <v>146</v>
      </c>
      <c r="E793" t="s">
        <v>257</v>
      </c>
      <c r="F793">
        <v>0</v>
      </c>
      <c r="G793">
        <v>4400</v>
      </c>
      <c r="H793">
        <v>1158.93</v>
      </c>
      <c r="I793" s="90">
        <v>5558.93</v>
      </c>
      <c r="J793" s="90" t="s">
        <v>257</v>
      </c>
      <c r="K793" s="90" t="s">
        <v>451</v>
      </c>
      <c r="L793" t="s">
        <v>106</v>
      </c>
    </row>
    <row r="794" spans="1:13" x14ac:dyDescent="0.25">
      <c r="A794" t="s">
        <v>257</v>
      </c>
      <c r="B794" t="s">
        <v>318</v>
      </c>
      <c r="C794" s="138" t="s">
        <v>244</v>
      </c>
      <c r="D794" t="s">
        <v>245</v>
      </c>
      <c r="E794" t="s">
        <v>257</v>
      </c>
      <c r="F794">
        <v>0</v>
      </c>
      <c r="G794">
        <v>6400</v>
      </c>
      <c r="H794">
        <v>593.2199999999999</v>
      </c>
      <c r="I794" s="90">
        <v>6993.22</v>
      </c>
      <c r="J794" s="90" t="s">
        <v>257</v>
      </c>
      <c r="K794" s="90" t="s">
        <v>451</v>
      </c>
      <c r="L794" t="s">
        <v>107</v>
      </c>
    </row>
    <row r="795" spans="1:13" x14ac:dyDescent="0.25">
      <c r="A795" t="s">
        <v>257</v>
      </c>
      <c r="B795" t="s">
        <v>318</v>
      </c>
      <c r="C795" s="138" t="s">
        <v>397</v>
      </c>
      <c r="D795" t="s">
        <v>229</v>
      </c>
      <c r="E795" t="s">
        <v>257</v>
      </c>
      <c r="F795">
        <v>0</v>
      </c>
      <c r="G795">
        <v>4150</v>
      </c>
      <c r="H795">
        <v>629.49</v>
      </c>
      <c r="I795" s="90">
        <v>4779.49</v>
      </c>
      <c r="J795" s="90" t="s">
        <v>257</v>
      </c>
      <c r="K795" s="90" t="s">
        <v>451</v>
      </c>
      <c r="L795" t="s">
        <v>107</v>
      </c>
    </row>
    <row r="796" spans="1:13" x14ac:dyDescent="0.25">
      <c r="A796" t="s">
        <v>257</v>
      </c>
      <c r="B796" t="s">
        <v>318</v>
      </c>
      <c r="C796" s="138" t="s">
        <v>398</v>
      </c>
      <c r="D796" t="s">
        <v>146</v>
      </c>
      <c r="E796" t="s">
        <v>257</v>
      </c>
      <c r="F796">
        <v>0</v>
      </c>
      <c r="G796">
        <v>4400</v>
      </c>
      <c r="H796">
        <v>1158.93</v>
      </c>
      <c r="I796" s="90">
        <v>5558.93</v>
      </c>
      <c r="J796" s="90" t="s">
        <v>257</v>
      </c>
      <c r="K796" s="90" t="s">
        <v>451</v>
      </c>
      <c r="L796" t="s">
        <v>106</v>
      </c>
    </row>
    <row r="797" spans="1:13" x14ac:dyDescent="0.25">
      <c r="A797" t="s">
        <v>257</v>
      </c>
      <c r="B797" t="s">
        <v>317</v>
      </c>
      <c r="C797" s="138" t="s">
        <v>249</v>
      </c>
      <c r="D797" t="s">
        <v>70</v>
      </c>
      <c r="E797" t="s">
        <v>393</v>
      </c>
      <c r="F797">
        <v>2800</v>
      </c>
      <c r="G797">
        <v>0</v>
      </c>
      <c r="H797">
        <v>240.07999999999998</v>
      </c>
      <c r="I797" s="90">
        <v>240.07999999999998</v>
      </c>
      <c r="J797" s="90" t="s">
        <v>257</v>
      </c>
      <c r="K797" s="90" t="s">
        <v>451</v>
      </c>
      <c r="L797" t="s">
        <v>107</v>
      </c>
    </row>
    <row r="798" spans="1:13" x14ac:dyDescent="0.25">
      <c r="A798" t="s">
        <v>257</v>
      </c>
      <c r="B798" t="s">
        <v>317</v>
      </c>
      <c r="C798" s="138" t="s">
        <v>249</v>
      </c>
      <c r="D798" t="s">
        <v>70</v>
      </c>
      <c r="E798" t="s">
        <v>393</v>
      </c>
      <c r="F798">
        <v>2800</v>
      </c>
      <c r="G798">
        <v>0</v>
      </c>
      <c r="H798">
        <v>240.07999999999998</v>
      </c>
      <c r="I798" s="90">
        <v>240.07999999999998</v>
      </c>
      <c r="J798" s="90" t="s">
        <v>257</v>
      </c>
      <c r="K798" s="90" t="s">
        <v>451</v>
      </c>
      <c r="L798" t="s">
        <v>107</v>
      </c>
    </row>
    <row r="799" spans="1:13" x14ac:dyDescent="0.25">
      <c r="A799" t="s">
        <v>257</v>
      </c>
      <c r="B799" t="s">
        <v>317</v>
      </c>
      <c r="C799" s="138" t="s">
        <v>249</v>
      </c>
      <c r="D799" t="s">
        <v>70</v>
      </c>
      <c r="E799" t="s">
        <v>393</v>
      </c>
      <c r="F799">
        <v>2800</v>
      </c>
      <c r="G799">
        <v>0</v>
      </c>
      <c r="H799">
        <v>240.07999999999998</v>
      </c>
      <c r="I799" s="90">
        <v>240.07999999999998</v>
      </c>
      <c r="J799" s="90" t="s">
        <v>257</v>
      </c>
      <c r="K799" s="90" t="s">
        <v>451</v>
      </c>
      <c r="L799" t="s">
        <v>107</v>
      </c>
    </row>
    <row r="800" spans="1:13" x14ac:dyDescent="0.25">
      <c r="A800" t="s">
        <v>257</v>
      </c>
      <c r="B800" t="s">
        <v>333</v>
      </c>
      <c r="C800" s="138" t="s">
        <v>228</v>
      </c>
      <c r="D800" t="s">
        <v>229</v>
      </c>
      <c r="E800" t="s">
        <v>257</v>
      </c>
      <c r="F800">
        <v>0</v>
      </c>
      <c r="G800">
        <v>4900</v>
      </c>
      <c r="H800">
        <v>610.52</v>
      </c>
      <c r="I800" s="90">
        <v>5510.52</v>
      </c>
      <c r="J800" s="90" t="s">
        <v>257</v>
      </c>
      <c r="K800" s="90" t="s">
        <v>451</v>
      </c>
      <c r="L800" t="s">
        <v>129</v>
      </c>
    </row>
    <row r="801" spans="1:13" x14ac:dyDescent="0.25">
      <c r="A801" t="s">
        <v>257</v>
      </c>
      <c r="B801" t="s">
        <v>333</v>
      </c>
      <c r="C801" s="138" t="s">
        <v>228</v>
      </c>
      <c r="D801" t="s">
        <v>229</v>
      </c>
      <c r="E801" t="s">
        <v>257</v>
      </c>
      <c r="F801">
        <v>0</v>
      </c>
      <c r="G801">
        <v>4900</v>
      </c>
      <c r="H801">
        <v>610.52</v>
      </c>
      <c r="I801" s="90">
        <v>5510.52</v>
      </c>
      <c r="J801" s="90" t="s">
        <v>257</v>
      </c>
      <c r="K801" s="90" t="s">
        <v>451</v>
      </c>
      <c r="L801" t="s">
        <v>129</v>
      </c>
    </row>
    <row r="802" spans="1:13" x14ac:dyDescent="0.25">
      <c r="A802" t="s">
        <v>257</v>
      </c>
      <c r="B802" t="s">
        <v>314</v>
      </c>
      <c r="C802" s="138" t="s">
        <v>211</v>
      </c>
      <c r="D802" t="s">
        <v>212</v>
      </c>
      <c r="E802" t="s">
        <v>257</v>
      </c>
      <c r="F802">
        <v>0</v>
      </c>
      <c r="G802">
        <v>6700</v>
      </c>
      <c r="H802">
        <v>1531.48</v>
      </c>
      <c r="I802" s="90">
        <v>8231.48</v>
      </c>
      <c r="J802" s="90" t="s">
        <v>257</v>
      </c>
      <c r="K802" s="90" t="s">
        <v>451</v>
      </c>
      <c r="L802" t="s">
        <v>129</v>
      </c>
    </row>
    <row r="803" spans="1:13" x14ac:dyDescent="0.25">
      <c r="A803" t="s">
        <v>257</v>
      </c>
      <c r="B803" t="s">
        <v>314</v>
      </c>
      <c r="C803" s="138" t="s">
        <v>211</v>
      </c>
      <c r="D803" t="s">
        <v>212</v>
      </c>
      <c r="E803" t="s">
        <v>257</v>
      </c>
      <c r="F803">
        <v>0</v>
      </c>
      <c r="G803">
        <v>6700</v>
      </c>
      <c r="H803">
        <v>1531.48</v>
      </c>
      <c r="I803" s="90">
        <v>8231.48</v>
      </c>
      <c r="J803" s="90" t="s">
        <v>257</v>
      </c>
      <c r="K803" s="90" t="s">
        <v>451</v>
      </c>
      <c r="L803" t="s">
        <v>129</v>
      </c>
    </row>
    <row r="804" spans="1:13" x14ac:dyDescent="0.25">
      <c r="A804" t="s">
        <v>257</v>
      </c>
      <c r="B804" t="s">
        <v>261</v>
      </c>
      <c r="C804" s="138" t="s">
        <v>394</v>
      </c>
      <c r="D804" t="s">
        <v>395</v>
      </c>
      <c r="E804" t="s">
        <v>257</v>
      </c>
      <c r="F804">
        <v>0</v>
      </c>
      <c r="G804">
        <v>5700</v>
      </c>
      <c r="H804">
        <v>1043.575</v>
      </c>
      <c r="I804" s="90">
        <v>6743.575</v>
      </c>
      <c r="J804" s="90" t="s">
        <v>257</v>
      </c>
      <c r="K804" s="90" t="s">
        <v>451</v>
      </c>
      <c r="L804" t="s">
        <v>113</v>
      </c>
    </row>
    <row r="805" spans="1:13" x14ac:dyDescent="0.25">
      <c r="A805" t="s">
        <v>257</v>
      </c>
      <c r="B805" t="s">
        <v>261</v>
      </c>
      <c r="C805" s="138" t="s">
        <v>396</v>
      </c>
      <c r="D805" t="s">
        <v>180</v>
      </c>
      <c r="E805" t="s">
        <v>257</v>
      </c>
      <c r="F805">
        <v>0</v>
      </c>
      <c r="G805">
        <v>5500</v>
      </c>
      <c r="H805">
        <v>592.52</v>
      </c>
      <c r="I805" s="90">
        <v>6092.52</v>
      </c>
      <c r="J805" s="90" t="s">
        <v>257</v>
      </c>
      <c r="K805" s="90" t="s">
        <v>451</v>
      </c>
      <c r="L805" t="s">
        <v>113</v>
      </c>
    </row>
    <row r="806" spans="1:13" x14ac:dyDescent="0.25">
      <c r="A806" t="s">
        <v>257</v>
      </c>
      <c r="B806" t="s">
        <v>261</v>
      </c>
      <c r="C806" s="138" t="s">
        <v>193</v>
      </c>
      <c r="D806" t="s">
        <v>194</v>
      </c>
      <c r="E806" t="s">
        <v>257</v>
      </c>
      <c r="F806">
        <v>0</v>
      </c>
      <c r="G806">
        <v>4750</v>
      </c>
      <c r="H806">
        <v>488.035</v>
      </c>
      <c r="I806" s="90">
        <v>5238.035</v>
      </c>
      <c r="J806" s="90" t="s">
        <v>257</v>
      </c>
      <c r="K806" s="90" t="s">
        <v>451</v>
      </c>
      <c r="L806" t="s">
        <v>125</v>
      </c>
    </row>
    <row r="807" spans="1:13" x14ac:dyDescent="0.25">
      <c r="A807" t="s">
        <v>257</v>
      </c>
      <c r="B807" t="s">
        <v>261</v>
      </c>
      <c r="C807" s="138" t="s">
        <v>394</v>
      </c>
      <c r="D807" t="s">
        <v>395</v>
      </c>
      <c r="E807" t="s">
        <v>257</v>
      </c>
      <c r="F807">
        <v>0</v>
      </c>
      <c r="G807">
        <v>5700</v>
      </c>
      <c r="H807">
        <v>1043.575</v>
      </c>
      <c r="I807" s="90">
        <v>6743.575</v>
      </c>
      <c r="J807" s="90" t="s">
        <v>257</v>
      </c>
      <c r="K807" s="90" t="s">
        <v>451</v>
      </c>
      <c r="L807" t="s">
        <v>113</v>
      </c>
    </row>
    <row r="808" spans="1:13" x14ac:dyDescent="0.25">
      <c r="A808" t="s">
        <v>257</v>
      </c>
      <c r="B808" t="s">
        <v>261</v>
      </c>
      <c r="C808" s="138" t="s">
        <v>396</v>
      </c>
      <c r="D808" t="s">
        <v>180</v>
      </c>
      <c r="E808" t="s">
        <v>257</v>
      </c>
      <c r="F808">
        <v>0</v>
      </c>
      <c r="G808">
        <v>5500</v>
      </c>
      <c r="H808">
        <v>592.52</v>
      </c>
      <c r="I808" s="90">
        <v>6092.52</v>
      </c>
      <c r="J808" s="90" t="s">
        <v>257</v>
      </c>
      <c r="K808" s="90" t="s">
        <v>451</v>
      </c>
      <c r="L808" t="s">
        <v>113</v>
      </c>
    </row>
    <row r="809" spans="1:13" x14ac:dyDescent="0.25">
      <c r="A809" t="s">
        <v>257</v>
      </c>
      <c r="B809" t="s">
        <v>261</v>
      </c>
      <c r="C809" s="138" t="s">
        <v>394</v>
      </c>
      <c r="D809" t="s">
        <v>395</v>
      </c>
      <c r="E809" t="s">
        <v>257</v>
      </c>
      <c r="F809">
        <v>0</v>
      </c>
      <c r="G809">
        <v>5700</v>
      </c>
      <c r="H809">
        <v>1043.575</v>
      </c>
      <c r="I809" s="90">
        <v>6743.575</v>
      </c>
      <c r="J809" s="90" t="s">
        <v>257</v>
      </c>
      <c r="K809" s="90" t="s">
        <v>451</v>
      </c>
      <c r="L809" t="s">
        <v>113</v>
      </c>
    </row>
    <row r="810" spans="1:13" x14ac:dyDescent="0.25">
      <c r="A810" t="s">
        <v>257</v>
      </c>
      <c r="B810" t="s">
        <v>261</v>
      </c>
      <c r="C810" s="138" t="s">
        <v>396</v>
      </c>
      <c r="D810" t="s">
        <v>180</v>
      </c>
      <c r="E810" t="s">
        <v>257</v>
      </c>
      <c r="F810">
        <v>0</v>
      </c>
      <c r="G810">
        <v>5500</v>
      </c>
      <c r="H810">
        <v>592.52</v>
      </c>
      <c r="I810" s="90">
        <v>6092.52</v>
      </c>
      <c r="J810" s="90" t="s">
        <v>257</v>
      </c>
      <c r="K810" s="90" t="s">
        <v>451</v>
      </c>
      <c r="L810" t="s">
        <v>113</v>
      </c>
    </row>
    <row r="811" spans="1:13" x14ac:dyDescent="0.25">
      <c r="A811" t="s">
        <v>257</v>
      </c>
      <c r="B811" t="s">
        <v>315</v>
      </c>
      <c r="C811" s="138" t="s">
        <v>208</v>
      </c>
      <c r="D811" t="s">
        <v>209</v>
      </c>
      <c r="E811" t="s">
        <v>257</v>
      </c>
      <c r="F811">
        <v>0</v>
      </c>
      <c r="G811">
        <v>4500</v>
      </c>
      <c r="H811">
        <v>836.2800000000001</v>
      </c>
      <c r="I811" s="90">
        <v>5336.28</v>
      </c>
      <c r="J811" s="90" t="s">
        <v>257</v>
      </c>
      <c r="K811" s="90" t="s">
        <v>451</v>
      </c>
      <c r="L811" t="s">
        <v>125</v>
      </c>
    </row>
    <row r="812" spans="1:13" x14ac:dyDescent="0.25">
      <c r="A812" t="s">
        <v>257</v>
      </c>
      <c r="B812" t="s">
        <v>315</v>
      </c>
      <c r="C812" s="138" t="s">
        <v>208</v>
      </c>
      <c r="D812" t="s">
        <v>209</v>
      </c>
      <c r="E812" t="s">
        <v>257</v>
      </c>
      <c r="F812">
        <v>0</v>
      </c>
      <c r="G812">
        <v>4500</v>
      </c>
      <c r="H812">
        <v>836.2800000000001</v>
      </c>
      <c r="I812" s="90">
        <v>5336.28</v>
      </c>
      <c r="J812" s="90" t="s">
        <v>257</v>
      </c>
      <c r="K812" s="90" t="s">
        <v>451</v>
      </c>
      <c r="L812" t="s">
        <v>125</v>
      </c>
    </row>
    <row r="813" spans="1:13" x14ac:dyDescent="0.25">
      <c r="A813" t="s">
        <v>257</v>
      </c>
      <c r="B813" t="s">
        <v>258</v>
      </c>
      <c r="C813" s="138" t="s">
        <v>191</v>
      </c>
      <c r="D813" t="s">
        <v>131</v>
      </c>
      <c r="E813" t="s">
        <v>257</v>
      </c>
      <c r="F813">
        <v>0</v>
      </c>
      <c r="G813">
        <v>6700</v>
      </c>
      <c r="H813">
        <v>972.2</v>
      </c>
      <c r="I813" s="90">
        <v>7672.2</v>
      </c>
      <c r="J813" s="90" t="s">
        <v>257</v>
      </c>
      <c r="K813" s="90" t="s">
        <v>451</v>
      </c>
      <c r="L813" t="s">
        <v>113</v>
      </c>
    </row>
    <row r="814" spans="1:13" x14ac:dyDescent="0.25">
      <c r="A814" t="s">
        <v>257</v>
      </c>
      <c r="B814" t="s">
        <v>258</v>
      </c>
      <c r="C814" s="138" t="s">
        <v>189</v>
      </c>
      <c r="D814" t="s">
        <v>190</v>
      </c>
      <c r="E814" t="s">
        <v>257</v>
      </c>
      <c r="F814">
        <v>0</v>
      </c>
      <c r="G814">
        <v>3500</v>
      </c>
      <c r="H814">
        <v>687.38</v>
      </c>
      <c r="I814" s="90">
        <v>4187.38</v>
      </c>
      <c r="J814" s="90" t="s">
        <v>257</v>
      </c>
      <c r="K814" s="90" t="s">
        <v>451</v>
      </c>
      <c r="L814" t="s">
        <v>110</v>
      </c>
    </row>
    <row r="815" spans="1:13" x14ac:dyDescent="0.25">
      <c r="A815" t="s">
        <v>257</v>
      </c>
      <c r="B815" t="s">
        <v>263</v>
      </c>
      <c r="C815" s="138" t="s">
        <v>221</v>
      </c>
      <c r="D815" t="s">
        <v>128</v>
      </c>
      <c r="E815" t="s">
        <v>377</v>
      </c>
      <c r="F815">
        <v>0</v>
      </c>
      <c r="G815">
        <v>4925</v>
      </c>
      <c r="H815">
        <v>1022.61</v>
      </c>
      <c r="I815" s="90">
        <v>5947.61</v>
      </c>
      <c r="J815" s="90" t="s">
        <v>257</v>
      </c>
      <c r="K815" s="90" t="s">
        <v>451</v>
      </c>
      <c r="L815" t="s">
        <v>110</v>
      </c>
    </row>
    <row r="816" spans="1:13" x14ac:dyDescent="0.25">
      <c r="A816" t="s">
        <v>257</v>
      </c>
      <c r="B816" t="s">
        <v>263</v>
      </c>
      <c r="C816" s="138" t="s">
        <v>221</v>
      </c>
      <c r="D816" t="s">
        <v>128</v>
      </c>
      <c r="E816" t="s">
        <v>377</v>
      </c>
      <c r="F816">
        <v>0</v>
      </c>
      <c r="G816">
        <v>4925</v>
      </c>
      <c r="H816">
        <v>1022.61</v>
      </c>
      <c r="I816" s="90">
        <v>5947.61</v>
      </c>
      <c r="J816" s="90" t="s">
        <v>257</v>
      </c>
      <c r="K816" s="90" t="s">
        <v>451</v>
      </c>
      <c r="L816" t="s">
        <v>110</v>
      </c>
    </row>
    <row r="817" spans="1:13" x14ac:dyDescent="0.25">
      <c r="A817" t="s">
        <v>257</v>
      </c>
      <c r="B817" t="s">
        <v>265</v>
      </c>
      <c r="C817" s="138" t="s">
        <v>200</v>
      </c>
      <c r="D817" t="s">
        <v>201</v>
      </c>
      <c r="E817" t="s">
        <v>393</v>
      </c>
      <c r="F817">
        <v>0</v>
      </c>
      <c r="G817">
        <v>0</v>
      </c>
      <c r="H817">
        <v>781.27</v>
      </c>
      <c r="I817" s="90">
        <v>781.27</v>
      </c>
      <c r="J817" s="90" t="s">
        <v>257</v>
      </c>
      <c r="K817" s="90" t="s">
        <v>451</v>
      </c>
      <c r="L817" t="s">
        <v>107</v>
      </c>
    </row>
    <row r="818" spans="1:13" x14ac:dyDescent="0.25">
      <c r="A818" t="s">
        <v>257</v>
      </c>
      <c r="B818" t="s">
        <v>265</v>
      </c>
      <c r="C818" s="138" t="s">
        <v>254</v>
      </c>
      <c r="D818" t="s">
        <v>255</v>
      </c>
      <c r="E818" t="s">
        <v>393</v>
      </c>
      <c r="F818">
        <v>4000</v>
      </c>
      <c r="G818">
        <v>0</v>
      </c>
      <c r="H818">
        <v>122.46000000000001</v>
      </c>
      <c r="I818" s="90">
        <v>4122.46</v>
      </c>
      <c r="J818" s="90" t="s">
        <v>257</v>
      </c>
      <c r="K818" s="90" t="s">
        <v>451</v>
      </c>
      <c r="L818" t="s">
        <v>107</v>
      </c>
    </row>
    <row r="819" spans="1:13" x14ac:dyDescent="0.25">
      <c r="A819" t="s">
        <v>257</v>
      </c>
      <c r="B819" t="s">
        <v>265</v>
      </c>
      <c r="C819" s="138" t="s">
        <v>254</v>
      </c>
      <c r="D819" t="s">
        <v>255</v>
      </c>
      <c r="E819" t="s">
        <v>393</v>
      </c>
      <c r="F819">
        <v>4000</v>
      </c>
      <c r="G819">
        <v>0</v>
      </c>
      <c r="H819">
        <v>122.46000000000001</v>
      </c>
      <c r="I819" s="90">
        <v>4122.46</v>
      </c>
      <c r="J819" s="90" t="s">
        <v>257</v>
      </c>
      <c r="K819" s="90" t="s">
        <v>451</v>
      </c>
      <c r="L819" t="s">
        <v>107</v>
      </c>
    </row>
    <row r="820" spans="1:13" x14ac:dyDescent="0.25">
      <c r="A820" t="s">
        <v>257</v>
      </c>
      <c r="B820" t="s">
        <v>265</v>
      </c>
      <c r="C820" s="138" t="s">
        <v>254</v>
      </c>
      <c r="D820" t="s">
        <v>255</v>
      </c>
      <c r="E820" t="s">
        <v>393</v>
      </c>
      <c r="F820">
        <v>4000</v>
      </c>
      <c r="G820">
        <v>0</v>
      </c>
      <c r="H820">
        <v>122.46000000000001</v>
      </c>
      <c r="I820" s="90">
        <v>122.46000000000001</v>
      </c>
      <c r="J820" s="90" t="s">
        <v>257</v>
      </c>
      <c r="K820" s="90" t="s">
        <v>451</v>
      </c>
      <c r="L820" t="s">
        <v>107</v>
      </c>
    </row>
    <row r="821" spans="1:13" x14ac:dyDescent="0.25">
      <c r="A821" t="s">
        <v>257</v>
      </c>
      <c r="B821" t="s">
        <v>463</v>
      </c>
      <c r="C821" s="138" t="s">
        <v>390</v>
      </c>
      <c r="D821" t="s">
        <v>391</v>
      </c>
      <c r="E821" t="s">
        <v>359</v>
      </c>
      <c r="F821">
        <v>0</v>
      </c>
      <c r="G821">
        <v>3850</v>
      </c>
      <c r="H821">
        <v>2836.6800000000003</v>
      </c>
      <c r="I821" s="90">
        <v>6686.68</v>
      </c>
      <c r="J821" s="90" t="s">
        <v>257</v>
      </c>
      <c r="K821" s="90" t="s">
        <v>451</v>
      </c>
      <c r="L821" t="s">
        <v>392</v>
      </c>
    </row>
    <row r="822" spans="1:13" x14ac:dyDescent="0.25">
      <c r="A822" t="s">
        <v>257</v>
      </c>
      <c r="B822" t="s">
        <v>463</v>
      </c>
      <c r="C822" s="138" t="s">
        <v>390</v>
      </c>
      <c r="D822" t="s">
        <v>391</v>
      </c>
      <c r="E822" t="s">
        <v>359</v>
      </c>
      <c r="F822">
        <v>0</v>
      </c>
      <c r="G822">
        <v>3850</v>
      </c>
      <c r="H822">
        <v>2836.6800000000003</v>
      </c>
      <c r="I822" s="90">
        <v>6686.68</v>
      </c>
      <c r="J822" s="90" t="s">
        <v>257</v>
      </c>
      <c r="K822" s="90" t="s">
        <v>451</v>
      </c>
      <c r="L822" t="s">
        <v>392</v>
      </c>
    </row>
    <row r="823" spans="1:13" x14ac:dyDescent="0.25">
      <c r="A823" t="s">
        <v>257</v>
      </c>
      <c r="B823" t="s">
        <v>463</v>
      </c>
      <c r="C823" s="138" t="s">
        <v>390</v>
      </c>
      <c r="D823" t="s">
        <v>391</v>
      </c>
      <c r="E823" t="s">
        <v>359</v>
      </c>
      <c r="F823">
        <v>0</v>
      </c>
      <c r="G823">
        <v>3850</v>
      </c>
      <c r="H823">
        <v>2836.6800000000003</v>
      </c>
      <c r="I823" s="90">
        <v>6686.68</v>
      </c>
      <c r="J823" s="90" t="s">
        <v>257</v>
      </c>
      <c r="K823" s="90" t="s">
        <v>451</v>
      </c>
      <c r="L823" t="s">
        <v>107</v>
      </c>
    </row>
    <row r="824" spans="1:13" x14ac:dyDescent="0.25">
      <c r="A824" t="s">
        <v>257</v>
      </c>
      <c r="B824" t="s">
        <v>463</v>
      </c>
      <c r="C824" s="138" t="s">
        <v>390</v>
      </c>
      <c r="D824" t="s">
        <v>391</v>
      </c>
      <c r="E824" t="s">
        <v>359</v>
      </c>
      <c r="F824">
        <v>0</v>
      </c>
      <c r="G824">
        <v>3850</v>
      </c>
      <c r="H824">
        <v>2836.6800000000003</v>
      </c>
      <c r="I824" s="90">
        <v>6686.68</v>
      </c>
      <c r="J824" s="90" t="s">
        <v>257</v>
      </c>
      <c r="K824" s="90" t="s">
        <v>451</v>
      </c>
      <c r="L824" t="s">
        <v>107</v>
      </c>
    </row>
    <row r="825" spans="1:13" x14ac:dyDescent="0.25">
      <c r="A825" t="s">
        <v>257</v>
      </c>
      <c r="B825" t="s">
        <v>266</v>
      </c>
      <c r="C825" s="138" t="s">
        <v>236</v>
      </c>
      <c r="D825" t="s">
        <v>237</v>
      </c>
      <c r="E825" t="s">
        <v>359</v>
      </c>
      <c r="F825">
        <v>0</v>
      </c>
      <c r="G825">
        <v>5500</v>
      </c>
      <c r="H825">
        <v>897.64</v>
      </c>
      <c r="I825" s="90">
        <v>6397.64</v>
      </c>
      <c r="J825" s="90" t="s">
        <v>257</v>
      </c>
      <c r="K825" s="90" t="s">
        <v>451</v>
      </c>
      <c r="L825" t="s">
        <v>129</v>
      </c>
    </row>
    <row r="826" spans="1:13" x14ac:dyDescent="0.25">
      <c r="A826" t="s">
        <v>257</v>
      </c>
      <c r="B826" t="s">
        <v>266</v>
      </c>
      <c r="C826" s="138" t="s">
        <v>205</v>
      </c>
      <c r="D826" t="s">
        <v>206</v>
      </c>
      <c r="E826" t="s">
        <v>359</v>
      </c>
      <c r="F826">
        <v>0</v>
      </c>
      <c r="G826">
        <v>5300</v>
      </c>
      <c r="H826">
        <v>1088.24</v>
      </c>
      <c r="I826" s="90">
        <v>6388.24</v>
      </c>
      <c r="J826" s="90" t="s">
        <v>257</v>
      </c>
      <c r="K826" s="90" t="s">
        <v>451</v>
      </c>
      <c r="L826" t="s">
        <v>107</v>
      </c>
    </row>
    <row r="827" spans="1:13" x14ac:dyDescent="0.25">
      <c r="A827" t="s">
        <v>257</v>
      </c>
      <c r="B827" t="s">
        <v>266</v>
      </c>
      <c r="C827" s="138" t="s">
        <v>179</v>
      </c>
      <c r="D827" t="s">
        <v>180</v>
      </c>
      <c r="E827" t="s">
        <v>359</v>
      </c>
      <c r="F827">
        <v>0</v>
      </c>
      <c r="G827">
        <v>850</v>
      </c>
      <c r="H827">
        <v>478.74</v>
      </c>
      <c r="I827" s="90">
        <v>1328.74</v>
      </c>
      <c r="J827" s="90" t="s">
        <v>257</v>
      </c>
      <c r="K827" s="90" t="s">
        <v>451</v>
      </c>
      <c r="L827" t="s">
        <v>107</v>
      </c>
    </row>
    <row r="828" spans="1:13" x14ac:dyDescent="0.25">
      <c r="A828" t="s">
        <v>257</v>
      </c>
      <c r="B828" t="s">
        <v>266</v>
      </c>
      <c r="C828" s="138" t="s">
        <v>236</v>
      </c>
      <c r="D828" t="s">
        <v>237</v>
      </c>
      <c r="E828" t="s">
        <v>359</v>
      </c>
      <c r="F828">
        <v>0</v>
      </c>
      <c r="G828">
        <v>5500</v>
      </c>
      <c r="H828">
        <v>897.64</v>
      </c>
      <c r="I828" s="90">
        <v>6397.64</v>
      </c>
      <c r="J828" s="90" t="s">
        <v>257</v>
      </c>
      <c r="K828" s="90" t="s">
        <v>451</v>
      </c>
      <c r="L828" t="s">
        <v>129</v>
      </c>
    </row>
    <row r="829" spans="1:13" x14ac:dyDescent="0.25">
      <c r="A829" t="s">
        <v>257</v>
      </c>
      <c r="B829" t="s">
        <v>266</v>
      </c>
      <c r="C829" s="138" t="s">
        <v>205</v>
      </c>
      <c r="D829" t="s">
        <v>206</v>
      </c>
      <c r="E829" t="s">
        <v>377</v>
      </c>
      <c r="F829">
        <v>0</v>
      </c>
      <c r="G829">
        <v>5300</v>
      </c>
      <c r="H829">
        <v>1088.24</v>
      </c>
      <c r="I829" s="90">
        <v>6388.24</v>
      </c>
      <c r="J829" s="90" t="s">
        <v>257</v>
      </c>
      <c r="K829" s="90" t="s">
        <v>451</v>
      </c>
      <c r="L829" t="s">
        <v>107</v>
      </c>
    </row>
    <row r="830" spans="1:13" x14ac:dyDescent="0.25">
      <c r="A830" t="s">
        <v>257</v>
      </c>
      <c r="B830" t="s">
        <v>266</v>
      </c>
      <c r="C830" s="138" t="s">
        <v>236</v>
      </c>
      <c r="D830" t="s">
        <v>237</v>
      </c>
      <c r="E830" t="s">
        <v>359</v>
      </c>
      <c r="F830">
        <v>0</v>
      </c>
      <c r="G830">
        <v>5500</v>
      </c>
      <c r="H830">
        <v>897.64</v>
      </c>
      <c r="I830" s="90">
        <v>6397.64</v>
      </c>
      <c r="J830" s="90" t="s">
        <v>257</v>
      </c>
      <c r="K830" s="90" t="s">
        <v>451</v>
      </c>
      <c r="L830" t="s">
        <v>129</v>
      </c>
    </row>
    <row r="831" spans="1:13" x14ac:dyDescent="0.25">
      <c r="A831" t="s">
        <v>257</v>
      </c>
      <c r="B831" t="s">
        <v>266</v>
      </c>
      <c r="C831" s="138" t="s">
        <v>205</v>
      </c>
      <c r="D831" t="s">
        <v>206</v>
      </c>
      <c r="E831" t="s">
        <v>377</v>
      </c>
      <c r="F831">
        <v>5500</v>
      </c>
      <c r="G831">
        <v>5300</v>
      </c>
      <c r="H831">
        <v>1088.24</v>
      </c>
      <c r="I831" s="90">
        <v>6388.24</v>
      </c>
      <c r="J831" s="90" t="s">
        <v>257</v>
      </c>
      <c r="K831" s="90" t="s">
        <v>451</v>
      </c>
      <c r="L831" t="s">
        <v>107</v>
      </c>
    </row>
    <row r="832" spans="1:13" x14ac:dyDescent="0.25">
      <c r="A832" t="s">
        <v>257</v>
      </c>
      <c r="B832" t="s">
        <v>464</v>
      </c>
      <c r="C832" s="138" t="s">
        <v>174</v>
      </c>
      <c r="D832" t="s">
        <v>175</v>
      </c>
      <c r="E832" t="s">
        <v>359</v>
      </c>
      <c r="F832">
        <v>0</v>
      </c>
      <c r="G832">
        <v>4600</v>
      </c>
      <c r="H832">
        <v>653.0200000000001</v>
      </c>
      <c r="I832" s="90">
        <v>5253.02</v>
      </c>
      <c r="J832" s="90" t="s">
        <v>257</v>
      </c>
      <c r="K832" s="90" t="s">
        <v>451</v>
      </c>
      <c r="L832" t="s">
        <v>107</v>
      </c>
    </row>
    <row r="833" spans="1:13" x14ac:dyDescent="0.25">
      <c r="A833" t="s">
        <v>257</v>
      </c>
      <c r="B833" t="s">
        <v>465</v>
      </c>
      <c r="C833" s="138" t="s">
        <v>388</v>
      </c>
      <c r="D833" t="s">
        <v>389</v>
      </c>
      <c r="E833" t="s">
        <v>359</v>
      </c>
      <c r="F833">
        <v>0</v>
      </c>
      <c r="G833">
        <v>5665.88</v>
      </c>
      <c r="H833">
        <v>862.8499999999999</v>
      </c>
      <c r="I833" s="90">
        <v>6528.73</v>
      </c>
      <c r="J833" s="90" t="s">
        <v>257</v>
      </c>
      <c r="K833" s="90" t="s">
        <v>451</v>
      </c>
      <c r="L833" t="s">
        <v>125</v>
      </c>
    </row>
    <row r="834" spans="1:13" x14ac:dyDescent="0.25">
      <c r="A834" t="s">
        <v>257</v>
      </c>
      <c r="B834" t="s">
        <v>465</v>
      </c>
      <c r="C834" s="138" t="s">
        <v>388</v>
      </c>
      <c r="D834" t="s">
        <v>389</v>
      </c>
      <c r="E834" t="s">
        <v>377</v>
      </c>
      <c r="F834">
        <v>0</v>
      </c>
      <c r="G834">
        <v>5665.88</v>
      </c>
      <c r="H834">
        <v>862.8499999999999</v>
      </c>
      <c r="I834" s="90">
        <v>6528.73</v>
      </c>
      <c r="J834" s="90" t="s">
        <v>257</v>
      </c>
      <c r="K834" s="90" t="s">
        <v>451</v>
      </c>
      <c r="L834" t="s">
        <v>125</v>
      </c>
    </row>
    <row r="835" spans="1:13" x14ac:dyDescent="0.25">
      <c r="A835" t="s">
        <v>257</v>
      </c>
      <c r="B835" t="s">
        <v>465</v>
      </c>
      <c r="C835" s="138" t="s">
        <v>388</v>
      </c>
      <c r="D835" t="s">
        <v>389</v>
      </c>
      <c r="E835" t="s">
        <v>377</v>
      </c>
      <c r="F835">
        <v>0</v>
      </c>
      <c r="G835">
        <v>5665.88</v>
      </c>
      <c r="H835">
        <v>862.8499999999999</v>
      </c>
      <c r="I835" s="90">
        <v>6528.73</v>
      </c>
      <c r="J835" s="90" t="s">
        <v>257</v>
      </c>
      <c r="K835" s="90" t="s">
        <v>451</v>
      </c>
      <c r="L835" t="s">
        <v>125</v>
      </c>
    </row>
    <row r="836" spans="1:13" x14ac:dyDescent="0.25">
      <c r="A836" t="s">
        <v>257</v>
      </c>
      <c r="B836" t="s">
        <v>465</v>
      </c>
      <c r="C836" s="138" t="s">
        <v>388</v>
      </c>
      <c r="D836" t="s">
        <v>389</v>
      </c>
      <c r="E836" t="s">
        <v>377</v>
      </c>
      <c r="F836">
        <v>0</v>
      </c>
      <c r="G836">
        <v>5665.88</v>
      </c>
      <c r="H836">
        <v>862.8499999999999</v>
      </c>
      <c r="I836" s="90">
        <v>6528.73</v>
      </c>
      <c r="J836" s="90" t="s">
        <v>257</v>
      </c>
      <c r="K836" s="90" t="s">
        <v>451</v>
      </c>
      <c r="L836" t="s">
        <v>125</v>
      </c>
    </row>
    <row r="837" spans="1:13" x14ac:dyDescent="0.25">
      <c r="A837" t="s">
        <v>257</v>
      </c>
      <c r="B837" t="s">
        <v>466</v>
      </c>
      <c r="C837" s="138" t="s">
        <v>386</v>
      </c>
      <c r="D837" t="s">
        <v>387</v>
      </c>
      <c r="E837" t="s">
        <v>359</v>
      </c>
      <c r="F837">
        <v>0</v>
      </c>
      <c r="G837">
        <v>4950</v>
      </c>
      <c r="H837">
        <v>424.73</v>
      </c>
      <c r="I837" s="90">
        <v>5374.73</v>
      </c>
      <c r="J837" s="90" t="s">
        <v>257</v>
      </c>
      <c r="K837" s="90" t="s">
        <v>451</v>
      </c>
      <c r="L837" t="s">
        <v>107</v>
      </c>
    </row>
    <row r="838" spans="1:13" x14ac:dyDescent="0.25">
      <c r="A838" t="s">
        <v>257</v>
      </c>
      <c r="B838" t="s">
        <v>466</v>
      </c>
      <c r="C838" s="138" t="s">
        <v>386</v>
      </c>
      <c r="D838" t="s">
        <v>387</v>
      </c>
      <c r="E838" t="s">
        <v>359</v>
      </c>
      <c r="F838">
        <v>0</v>
      </c>
      <c r="G838">
        <v>4950</v>
      </c>
      <c r="H838">
        <v>424.73</v>
      </c>
      <c r="I838" s="90">
        <v>5374.73</v>
      </c>
      <c r="J838" s="90" t="s">
        <v>257</v>
      </c>
      <c r="K838" s="90" t="s">
        <v>451</v>
      </c>
      <c r="L838" t="s">
        <v>107</v>
      </c>
    </row>
    <row r="839" spans="1:13" x14ac:dyDescent="0.25">
      <c r="A839" t="s">
        <v>257</v>
      </c>
      <c r="B839" t="s">
        <v>466</v>
      </c>
      <c r="C839" s="138" t="s">
        <v>386</v>
      </c>
      <c r="D839" t="s">
        <v>387</v>
      </c>
      <c r="E839" t="s">
        <v>359</v>
      </c>
      <c r="F839">
        <v>0</v>
      </c>
      <c r="G839">
        <v>4950</v>
      </c>
      <c r="H839">
        <v>424.73</v>
      </c>
      <c r="I839" s="90">
        <v>5374.73</v>
      </c>
      <c r="J839" s="90" t="s">
        <v>257</v>
      </c>
      <c r="K839" s="90" t="s">
        <v>451</v>
      </c>
      <c r="L839" t="s">
        <v>107</v>
      </c>
    </row>
    <row r="840" spans="1:13" x14ac:dyDescent="0.25">
      <c r="A840" t="s">
        <v>257</v>
      </c>
      <c r="B840" t="s">
        <v>466</v>
      </c>
      <c r="C840" s="138" t="s">
        <v>386</v>
      </c>
      <c r="D840" t="s">
        <v>387</v>
      </c>
      <c r="E840" t="s">
        <v>359</v>
      </c>
      <c r="F840">
        <v>0</v>
      </c>
      <c r="G840">
        <v>4950</v>
      </c>
      <c r="H840">
        <v>424.73</v>
      </c>
      <c r="I840" s="90">
        <v>5374.73</v>
      </c>
      <c r="J840" s="90" t="s">
        <v>257</v>
      </c>
      <c r="K840" s="90" t="s">
        <v>451</v>
      </c>
      <c r="L840" t="s">
        <v>107</v>
      </c>
    </row>
    <row r="841" spans="1:13" x14ac:dyDescent="0.25">
      <c r="A841" t="s">
        <v>257</v>
      </c>
      <c r="B841" t="s">
        <v>264</v>
      </c>
      <c r="C841" s="138" t="s">
        <v>183</v>
      </c>
      <c r="D841" t="s">
        <v>184</v>
      </c>
      <c r="E841" t="s">
        <v>359</v>
      </c>
      <c r="F841">
        <v>0</v>
      </c>
      <c r="G841">
        <v>7023</v>
      </c>
      <c r="H841">
        <v>1223.15</v>
      </c>
      <c r="I841" s="90">
        <v>8246.15</v>
      </c>
      <c r="J841" s="90" t="s">
        <v>257</v>
      </c>
      <c r="K841" s="90" t="s">
        <v>451</v>
      </c>
      <c r="L841" t="s">
        <v>107</v>
      </c>
    </row>
    <row r="842" spans="1:13" x14ac:dyDescent="0.25">
      <c r="A842" t="s">
        <v>257</v>
      </c>
      <c r="B842" t="s">
        <v>264</v>
      </c>
      <c r="C842" s="138" t="s">
        <v>183</v>
      </c>
      <c r="D842" t="s">
        <v>184</v>
      </c>
      <c r="E842" t="s">
        <v>377</v>
      </c>
      <c r="F842">
        <v>0</v>
      </c>
      <c r="G842">
        <v>7023</v>
      </c>
      <c r="H842">
        <v>1223.15</v>
      </c>
      <c r="I842" s="90">
        <v>8246.15</v>
      </c>
      <c r="J842" s="90" t="s">
        <v>257</v>
      </c>
      <c r="K842" s="90" t="s">
        <v>451</v>
      </c>
      <c r="L842" t="s">
        <v>107</v>
      </c>
    </row>
    <row r="843" spans="1:13" x14ac:dyDescent="0.25">
      <c r="A843" t="s">
        <v>257</v>
      </c>
      <c r="B843" t="s">
        <v>467</v>
      </c>
      <c r="C843" s="138" t="s">
        <v>172</v>
      </c>
      <c r="D843" t="s">
        <v>173</v>
      </c>
      <c r="E843" t="s">
        <v>359</v>
      </c>
      <c r="F843">
        <v>0</v>
      </c>
      <c r="G843">
        <v>5650</v>
      </c>
      <c r="H843">
        <v>891.12</v>
      </c>
      <c r="I843" s="90">
        <v>6541.12</v>
      </c>
      <c r="J843" s="90" t="s">
        <v>257</v>
      </c>
      <c r="K843" s="90" t="s">
        <v>451</v>
      </c>
      <c r="L843" t="s">
        <v>107</v>
      </c>
    </row>
    <row r="844" spans="1:13" x14ac:dyDescent="0.25">
      <c r="A844" t="s">
        <v>257</v>
      </c>
      <c r="B844" t="s">
        <v>307</v>
      </c>
      <c r="C844" s="138" t="s">
        <v>225</v>
      </c>
      <c r="D844" t="s">
        <v>226</v>
      </c>
      <c r="E844" t="s">
        <v>359</v>
      </c>
      <c r="F844">
        <v>0</v>
      </c>
      <c r="G844">
        <v>5200</v>
      </c>
      <c r="H844">
        <v>1297.8799999999999</v>
      </c>
      <c r="I844" s="90">
        <v>6497.88</v>
      </c>
      <c r="J844" s="90" t="s">
        <v>257</v>
      </c>
      <c r="K844" s="90" t="s">
        <v>451</v>
      </c>
      <c r="L844" t="s">
        <v>129</v>
      </c>
    </row>
    <row r="845" spans="1:13" x14ac:dyDescent="0.25">
      <c r="A845" t="s">
        <v>257</v>
      </c>
      <c r="B845" t="s">
        <v>307</v>
      </c>
      <c r="C845" s="138" t="s">
        <v>225</v>
      </c>
      <c r="D845" t="s">
        <v>226</v>
      </c>
      <c r="E845" t="s">
        <v>359</v>
      </c>
      <c r="F845">
        <v>0</v>
      </c>
      <c r="G845">
        <v>5200</v>
      </c>
      <c r="H845">
        <v>1297.8799999999999</v>
      </c>
      <c r="I845" s="90">
        <v>6497.88</v>
      </c>
      <c r="J845" s="90" t="s">
        <v>257</v>
      </c>
      <c r="K845" s="90" t="s">
        <v>451</v>
      </c>
      <c r="L845" t="s">
        <v>129</v>
      </c>
    </row>
    <row r="846" spans="1:13" x14ac:dyDescent="0.25">
      <c r="A846" t="s">
        <v>257</v>
      </c>
      <c r="B846" t="s">
        <v>307</v>
      </c>
      <c r="C846" s="138" t="s">
        <v>225</v>
      </c>
      <c r="D846" t="s">
        <v>226</v>
      </c>
      <c r="E846" t="s">
        <v>359</v>
      </c>
      <c r="F846">
        <v>0</v>
      </c>
      <c r="G846">
        <v>5200</v>
      </c>
      <c r="H846">
        <v>1297.8799999999999</v>
      </c>
      <c r="I846" s="90">
        <v>6497.88</v>
      </c>
      <c r="J846" s="90" t="s">
        <v>257</v>
      </c>
      <c r="K846" s="90" t="s">
        <v>451</v>
      </c>
      <c r="L846" t="s">
        <v>129</v>
      </c>
    </row>
    <row r="847" spans="1:13" x14ac:dyDescent="0.25">
      <c r="A847" t="s">
        <v>257</v>
      </c>
      <c r="B847" t="s">
        <v>307</v>
      </c>
      <c r="C847" s="138" t="s">
        <v>225</v>
      </c>
      <c r="D847" t="s">
        <v>226</v>
      </c>
      <c r="E847" t="s">
        <v>359</v>
      </c>
      <c r="F847">
        <v>0</v>
      </c>
      <c r="G847">
        <v>5200</v>
      </c>
      <c r="H847">
        <v>1297.8799999999999</v>
      </c>
      <c r="I847" s="90">
        <v>6497.88</v>
      </c>
      <c r="J847" s="90" t="s">
        <v>257</v>
      </c>
      <c r="K847" s="90" t="s">
        <v>451</v>
      </c>
      <c r="L847" t="s">
        <v>129</v>
      </c>
    </row>
    <row r="848" spans="1:13" x14ac:dyDescent="0.25">
      <c r="A848" t="s">
        <v>257</v>
      </c>
      <c r="B848" t="s">
        <v>306</v>
      </c>
      <c r="C848" s="138" t="s">
        <v>235</v>
      </c>
      <c r="D848" t="s">
        <v>122</v>
      </c>
      <c r="E848" t="s">
        <v>359</v>
      </c>
      <c r="F848">
        <v>0</v>
      </c>
      <c r="G848">
        <v>900</v>
      </c>
      <c r="H848">
        <v>3114.6099999999997</v>
      </c>
      <c r="I848" s="90">
        <v>4014.6099999999997</v>
      </c>
      <c r="J848" s="90" t="s">
        <v>257</v>
      </c>
      <c r="K848" s="90" t="s">
        <v>451</v>
      </c>
      <c r="L848" t="s">
        <v>107</v>
      </c>
    </row>
    <row r="849" spans="1:13" x14ac:dyDescent="0.25">
      <c r="A849" t="s">
        <v>257</v>
      </c>
      <c r="B849" t="s">
        <v>306</v>
      </c>
      <c r="C849" s="138" t="s">
        <v>235</v>
      </c>
      <c r="D849" t="s">
        <v>122</v>
      </c>
      <c r="E849" t="s">
        <v>359</v>
      </c>
      <c r="F849">
        <v>0</v>
      </c>
      <c r="G849">
        <v>900</v>
      </c>
      <c r="H849">
        <v>3114.6099999999997</v>
      </c>
      <c r="I849" s="90">
        <v>4014.6099999999997</v>
      </c>
      <c r="J849" s="90" t="s">
        <v>257</v>
      </c>
      <c r="K849" s="90" t="s">
        <v>451</v>
      </c>
      <c r="L849" t="s">
        <v>107</v>
      </c>
    </row>
    <row r="850" spans="1:13" x14ac:dyDescent="0.25">
      <c r="A850" t="s">
        <v>257</v>
      </c>
      <c r="B850" t="s">
        <v>306</v>
      </c>
      <c r="C850" s="138" t="s">
        <v>235</v>
      </c>
      <c r="D850" t="s">
        <v>122</v>
      </c>
      <c r="E850" t="s">
        <v>359</v>
      </c>
      <c r="F850">
        <v>0</v>
      </c>
      <c r="G850">
        <v>900</v>
      </c>
      <c r="H850">
        <v>3114.6099999999997</v>
      </c>
      <c r="I850" s="90">
        <v>4014.6099999999997</v>
      </c>
      <c r="J850" s="90" t="s">
        <v>257</v>
      </c>
      <c r="K850" s="90" t="s">
        <v>451</v>
      </c>
      <c r="L850" t="s">
        <v>107</v>
      </c>
    </row>
    <row r="851" spans="1:13" x14ac:dyDescent="0.25">
      <c r="A851" t="s">
        <v>257</v>
      </c>
      <c r="B851" t="s">
        <v>306</v>
      </c>
      <c r="C851" s="138" t="s">
        <v>235</v>
      </c>
      <c r="D851" t="s">
        <v>122</v>
      </c>
      <c r="E851" t="s">
        <v>359</v>
      </c>
      <c r="F851">
        <v>0</v>
      </c>
      <c r="G851">
        <v>900</v>
      </c>
      <c r="H851">
        <v>3114.6099999999997</v>
      </c>
      <c r="I851" s="90">
        <v>4014.6099999999997</v>
      </c>
      <c r="J851" s="90" t="s">
        <v>257</v>
      </c>
      <c r="K851" s="90" t="s">
        <v>451</v>
      </c>
      <c r="L851" t="s">
        <v>107</v>
      </c>
    </row>
    <row r="852" spans="1:13" x14ac:dyDescent="0.25">
      <c r="A852" t="s">
        <v>257</v>
      </c>
      <c r="B852" t="s">
        <v>320</v>
      </c>
      <c r="C852" s="138" t="s">
        <v>203</v>
      </c>
      <c r="D852" t="s">
        <v>148</v>
      </c>
      <c r="E852" t="s">
        <v>359</v>
      </c>
      <c r="F852">
        <v>0</v>
      </c>
      <c r="G852">
        <v>5500</v>
      </c>
      <c r="H852">
        <v>993.7</v>
      </c>
      <c r="I852" s="90">
        <v>6493.7</v>
      </c>
      <c r="J852" s="90" t="s">
        <v>257</v>
      </c>
      <c r="K852" s="90" t="s">
        <v>451</v>
      </c>
      <c r="L852" t="s">
        <v>129</v>
      </c>
    </row>
    <row r="853" spans="1:13" x14ac:dyDescent="0.25">
      <c r="A853" t="s">
        <v>257</v>
      </c>
      <c r="B853" t="s">
        <v>320</v>
      </c>
      <c r="C853" s="138" t="s">
        <v>203</v>
      </c>
      <c r="D853" t="s">
        <v>148</v>
      </c>
      <c r="E853" t="s">
        <v>359</v>
      </c>
      <c r="F853">
        <v>0</v>
      </c>
      <c r="G853">
        <v>5500</v>
      </c>
      <c r="H853">
        <v>993.7</v>
      </c>
      <c r="I853" s="90">
        <v>6493.7</v>
      </c>
      <c r="J853" s="90" t="s">
        <v>257</v>
      </c>
      <c r="K853" s="90" t="s">
        <v>451</v>
      </c>
      <c r="L853" t="s">
        <v>129</v>
      </c>
    </row>
    <row r="854" spans="1:13" x14ac:dyDescent="0.25">
      <c r="A854" t="s">
        <v>257</v>
      </c>
      <c r="B854" t="s">
        <v>320</v>
      </c>
      <c r="C854" s="138" t="s">
        <v>203</v>
      </c>
      <c r="D854" t="s">
        <v>148</v>
      </c>
      <c r="E854" t="s">
        <v>359</v>
      </c>
      <c r="F854">
        <v>0</v>
      </c>
      <c r="G854">
        <v>5500</v>
      </c>
      <c r="H854">
        <v>993.7</v>
      </c>
      <c r="I854" s="90">
        <v>6493.7</v>
      </c>
      <c r="J854" s="90" t="s">
        <v>257</v>
      </c>
      <c r="K854" s="90" t="s">
        <v>451</v>
      </c>
      <c r="L854" t="s">
        <v>129</v>
      </c>
    </row>
    <row r="855" spans="1:13" x14ac:dyDescent="0.25">
      <c r="A855" t="s">
        <v>257</v>
      </c>
      <c r="B855" t="s">
        <v>320</v>
      </c>
      <c r="C855" s="138" t="s">
        <v>203</v>
      </c>
      <c r="D855" t="s">
        <v>148</v>
      </c>
      <c r="E855" t="s">
        <v>359</v>
      </c>
      <c r="F855">
        <v>0</v>
      </c>
      <c r="G855">
        <v>5500</v>
      </c>
      <c r="H855">
        <v>993.7</v>
      </c>
      <c r="I855" s="90">
        <v>6493.7</v>
      </c>
      <c r="J855" s="90" t="s">
        <v>257</v>
      </c>
      <c r="K855" s="90" t="s">
        <v>451</v>
      </c>
      <c r="L855" t="s">
        <v>129</v>
      </c>
    </row>
    <row r="856" spans="1:13" x14ac:dyDescent="0.25">
      <c r="A856" t="s">
        <v>257</v>
      </c>
      <c r="B856" t="s">
        <v>468</v>
      </c>
      <c r="C856" s="138" t="s">
        <v>384</v>
      </c>
      <c r="D856" t="s">
        <v>385</v>
      </c>
      <c r="E856" t="s">
        <v>377</v>
      </c>
      <c r="F856">
        <v>0</v>
      </c>
      <c r="G856">
        <v>5000</v>
      </c>
      <c r="H856">
        <v>2573.46</v>
      </c>
      <c r="I856" s="90">
        <v>7573.46</v>
      </c>
      <c r="J856" s="90" t="s">
        <v>257</v>
      </c>
      <c r="K856" s="90" t="s">
        <v>451</v>
      </c>
      <c r="L856" t="s">
        <v>125</v>
      </c>
    </row>
    <row r="857" spans="1:13" x14ac:dyDescent="0.25">
      <c r="A857" t="s">
        <v>257</v>
      </c>
      <c r="B857" t="s">
        <v>468</v>
      </c>
      <c r="C857" s="138" t="s">
        <v>149</v>
      </c>
      <c r="D857" t="s">
        <v>150</v>
      </c>
      <c r="E857" t="s">
        <v>377</v>
      </c>
      <c r="F857">
        <v>0</v>
      </c>
      <c r="G857">
        <v>3535</v>
      </c>
      <c r="H857">
        <v>195.74</v>
      </c>
      <c r="I857" s="90">
        <v>3730.74</v>
      </c>
      <c r="J857" s="90" t="s">
        <v>257</v>
      </c>
      <c r="K857" s="90" t="s">
        <v>451</v>
      </c>
      <c r="L857" t="s">
        <v>107</v>
      </c>
    </row>
    <row r="858" spans="1:13" x14ac:dyDescent="0.25">
      <c r="A858" t="s">
        <v>257</v>
      </c>
      <c r="B858" t="s">
        <v>468</v>
      </c>
      <c r="C858" s="138" t="s">
        <v>384</v>
      </c>
      <c r="D858" t="s">
        <v>385</v>
      </c>
      <c r="E858" t="s">
        <v>377</v>
      </c>
      <c r="F858">
        <v>0</v>
      </c>
      <c r="G858">
        <v>5000</v>
      </c>
      <c r="H858">
        <v>2573.46</v>
      </c>
      <c r="I858" s="90">
        <v>7573.46</v>
      </c>
      <c r="J858" s="90" t="s">
        <v>257</v>
      </c>
      <c r="K858" s="90" t="s">
        <v>451</v>
      </c>
      <c r="L858" t="s">
        <v>125</v>
      </c>
    </row>
    <row r="859" spans="1:13" x14ac:dyDescent="0.25">
      <c r="A859" t="s">
        <v>257</v>
      </c>
      <c r="B859" t="s">
        <v>468</v>
      </c>
      <c r="C859" s="138" t="s">
        <v>384</v>
      </c>
      <c r="D859" t="s">
        <v>385</v>
      </c>
      <c r="E859" t="s">
        <v>377</v>
      </c>
      <c r="F859">
        <v>0</v>
      </c>
      <c r="G859">
        <v>5000</v>
      </c>
      <c r="H859">
        <v>2573.46</v>
      </c>
      <c r="I859" s="90">
        <v>7573.46</v>
      </c>
      <c r="J859" s="90" t="s">
        <v>257</v>
      </c>
      <c r="K859" s="90" t="s">
        <v>451</v>
      </c>
      <c r="L859" t="s">
        <v>125</v>
      </c>
    </row>
    <row r="860" spans="1:13" x14ac:dyDescent="0.25">
      <c r="A860" t="s">
        <v>257</v>
      </c>
      <c r="B860" t="s">
        <v>468</v>
      </c>
      <c r="C860" s="138" t="s">
        <v>384</v>
      </c>
      <c r="D860" t="s">
        <v>385</v>
      </c>
      <c r="E860" t="s">
        <v>377</v>
      </c>
      <c r="F860">
        <v>0</v>
      </c>
      <c r="G860">
        <v>5000</v>
      </c>
      <c r="H860">
        <v>2573.46</v>
      </c>
      <c r="I860" s="90">
        <v>7573.46</v>
      </c>
      <c r="J860" s="90" t="s">
        <v>257</v>
      </c>
      <c r="K860" s="90" t="s">
        <v>451</v>
      </c>
      <c r="L860" t="s">
        <v>125</v>
      </c>
    </row>
    <row r="861" spans="1:13" x14ac:dyDescent="0.25">
      <c r="A861" t="s">
        <v>257</v>
      </c>
      <c r="B861" t="s">
        <v>468</v>
      </c>
      <c r="C861" s="138" t="s">
        <v>384</v>
      </c>
      <c r="D861" t="s">
        <v>385</v>
      </c>
      <c r="E861" t="s">
        <v>377</v>
      </c>
      <c r="F861">
        <v>0</v>
      </c>
      <c r="G861">
        <v>5000</v>
      </c>
      <c r="H861">
        <v>2573.46</v>
      </c>
      <c r="I861" s="90">
        <v>7573.46</v>
      </c>
      <c r="J861" s="90" t="s">
        <v>257</v>
      </c>
      <c r="K861" s="90" t="s">
        <v>451</v>
      </c>
      <c r="L861" t="s">
        <v>125</v>
      </c>
    </row>
    <row r="862" spans="1:13" x14ac:dyDescent="0.25">
      <c r="A862" t="s">
        <v>257</v>
      </c>
      <c r="B862" t="s">
        <v>260</v>
      </c>
      <c r="C862" s="138" t="s">
        <v>383</v>
      </c>
      <c r="D862" t="s">
        <v>156</v>
      </c>
      <c r="E862" t="s">
        <v>377</v>
      </c>
      <c r="F862">
        <v>0</v>
      </c>
      <c r="G862">
        <v>4000</v>
      </c>
      <c r="H862">
        <v>528.8000000000001</v>
      </c>
      <c r="I862" s="90">
        <v>4528.8</v>
      </c>
      <c r="J862" s="90" t="s">
        <v>257</v>
      </c>
      <c r="K862" s="90" t="s">
        <v>451</v>
      </c>
      <c r="L862" t="s">
        <v>129</v>
      </c>
    </row>
    <row r="863" spans="1:13" x14ac:dyDescent="0.25">
      <c r="A863" t="s">
        <v>257</v>
      </c>
      <c r="B863" t="s">
        <v>260</v>
      </c>
      <c r="C863" s="138" t="s">
        <v>187</v>
      </c>
      <c r="D863" t="s">
        <v>119</v>
      </c>
      <c r="E863" t="s">
        <v>359</v>
      </c>
      <c r="F863">
        <v>0</v>
      </c>
      <c r="G863">
        <v>1200</v>
      </c>
      <c r="H863">
        <v>1650.71</v>
      </c>
      <c r="I863" s="90">
        <v>2850.71</v>
      </c>
      <c r="J863" s="90" t="s">
        <v>257</v>
      </c>
      <c r="K863" s="90" t="s">
        <v>451</v>
      </c>
      <c r="L863" t="s">
        <v>106</v>
      </c>
    </row>
    <row r="864" spans="1:13" x14ac:dyDescent="0.25">
      <c r="A864" t="s">
        <v>257</v>
      </c>
      <c r="B864" t="s">
        <v>260</v>
      </c>
      <c r="C864" s="138" t="s">
        <v>187</v>
      </c>
      <c r="D864" t="s">
        <v>119</v>
      </c>
      <c r="E864" t="s">
        <v>359</v>
      </c>
      <c r="F864">
        <v>0</v>
      </c>
      <c r="G864">
        <v>1200</v>
      </c>
      <c r="H864">
        <v>1650.71</v>
      </c>
      <c r="I864" s="90">
        <v>2850.71</v>
      </c>
      <c r="J864" s="90" t="s">
        <v>257</v>
      </c>
      <c r="K864" s="90" t="s">
        <v>451</v>
      </c>
      <c r="L864" t="s">
        <v>106</v>
      </c>
    </row>
    <row r="865" spans="1:13" x14ac:dyDescent="0.25">
      <c r="A865" t="s">
        <v>257</v>
      </c>
      <c r="B865" t="s">
        <v>260</v>
      </c>
      <c r="C865" s="138" t="s">
        <v>187</v>
      </c>
      <c r="D865" t="s">
        <v>119</v>
      </c>
      <c r="E865" t="s">
        <v>359</v>
      </c>
      <c r="F865">
        <v>0</v>
      </c>
      <c r="G865">
        <v>1200</v>
      </c>
      <c r="H865">
        <v>1650.71</v>
      </c>
      <c r="I865" s="90">
        <v>2850.71</v>
      </c>
      <c r="J865" s="90" t="s">
        <v>257</v>
      </c>
      <c r="K865" s="90" t="s">
        <v>451</v>
      </c>
      <c r="L865" t="s">
        <v>106</v>
      </c>
    </row>
    <row r="866" spans="1:13" x14ac:dyDescent="0.25">
      <c r="A866" t="s">
        <v>257</v>
      </c>
      <c r="B866" t="s">
        <v>469</v>
      </c>
      <c r="C866" s="138" t="s">
        <v>167</v>
      </c>
      <c r="D866" t="s">
        <v>168</v>
      </c>
      <c r="E866" t="s">
        <v>377</v>
      </c>
      <c r="F866">
        <v>0</v>
      </c>
      <c r="G866">
        <v>5000</v>
      </c>
      <c r="H866">
        <v>1270.6799999999998</v>
      </c>
      <c r="I866" s="90">
        <v>6270.68</v>
      </c>
      <c r="J866" s="90" t="s">
        <v>257</v>
      </c>
      <c r="K866" s="90" t="s">
        <v>451</v>
      </c>
      <c r="L866" t="s">
        <v>129</v>
      </c>
    </row>
    <row r="867" spans="1:13" x14ac:dyDescent="0.25">
      <c r="A867" t="s">
        <v>257</v>
      </c>
      <c r="B867" t="s">
        <v>469</v>
      </c>
      <c r="C867" s="138" t="s">
        <v>167</v>
      </c>
      <c r="D867" t="s">
        <v>168</v>
      </c>
      <c r="E867" t="s">
        <v>377</v>
      </c>
      <c r="F867">
        <v>0</v>
      </c>
      <c r="G867">
        <v>5000</v>
      </c>
      <c r="H867">
        <v>1270.6799999999998</v>
      </c>
      <c r="I867" s="90">
        <v>6270.68</v>
      </c>
      <c r="J867" s="90" t="s">
        <v>257</v>
      </c>
      <c r="K867" s="90" t="s">
        <v>451</v>
      </c>
      <c r="L867" t="s">
        <v>129</v>
      </c>
    </row>
    <row r="868" spans="1:13" x14ac:dyDescent="0.25">
      <c r="A868" t="s">
        <v>257</v>
      </c>
      <c r="B868" t="s">
        <v>470</v>
      </c>
      <c r="C868" s="138" t="s">
        <v>382</v>
      </c>
      <c r="D868" t="s">
        <v>49</v>
      </c>
      <c r="E868" t="s">
        <v>359</v>
      </c>
      <c r="F868">
        <v>0</v>
      </c>
      <c r="G868">
        <v>5750</v>
      </c>
      <c r="H868">
        <v>897.9000000000001</v>
      </c>
      <c r="I868" s="90">
        <v>6647.9</v>
      </c>
      <c r="J868" s="90" t="s">
        <v>257</v>
      </c>
      <c r="K868" s="90" t="s">
        <v>451</v>
      </c>
      <c r="L868" t="s">
        <v>125</v>
      </c>
    </row>
    <row r="869" spans="1:13" x14ac:dyDescent="0.25">
      <c r="A869" t="s">
        <v>257</v>
      </c>
      <c r="B869" t="s">
        <v>332</v>
      </c>
      <c r="C869" s="138" t="s">
        <v>198</v>
      </c>
      <c r="D869" t="s">
        <v>199</v>
      </c>
      <c r="E869" t="s">
        <v>377</v>
      </c>
      <c r="F869">
        <v>0</v>
      </c>
      <c r="G869">
        <v>4050</v>
      </c>
      <c r="H869">
        <v>346.8</v>
      </c>
      <c r="I869" s="90">
        <v>4396.8</v>
      </c>
      <c r="J869" s="90" t="s">
        <v>257</v>
      </c>
      <c r="K869" s="90" t="s">
        <v>451</v>
      </c>
      <c r="L869" t="s">
        <v>110</v>
      </c>
    </row>
    <row r="870" spans="1:13" x14ac:dyDescent="0.25">
      <c r="A870" t="s">
        <v>257</v>
      </c>
      <c r="B870" t="s">
        <v>332</v>
      </c>
      <c r="C870" s="138" t="s">
        <v>198</v>
      </c>
      <c r="D870" t="s">
        <v>199</v>
      </c>
      <c r="E870" t="s">
        <v>377</v>
      </c>
      <c r="F870">
        <v>0</v>
      </c>
      <c r="G870">
        <v>4050</v>
      </c>
      <c r="H870">
        <v>592.52</v>
      </c>
      <c r="I870" s="90">
        <v>4642.52</v>
      </c>
      <c r="J870" s="90" t="s">
        <v>257</v>
      </c>
      <c r="K870" s="90" t="s">
        <v>451</v>
      </c>
      <c r="L870" t="s">
        <v>110</v>
      </c>
    </row>
    <row r="871" spans="1:13" x14ac:dyDescent="0.25">
      <c r="A871" t="s">
        <v>257</v>
      </c>
      <c r="B871" t="s">
        <v>332</v>
      </c>
      <c r="C871" s="138" t="s">
        <v>198</v>
      </c>
      <c r="D871" t="s">
        <v>199</v>
      </c>
      <c r="E871" t="s">
        <v>377</v>
      </c>
      <c r="F871">
        <v>0</v>
      </c>
      <c r="G871">
        <v>4050</v>
      </c>
      <c r="H871">
        <v>592.52</v>
      </c>
      <c r="I871" s="90">
        <v>4642.52</v>
      </c>
      <c r="J871" s="90" t="s">
        <v>257</v>
      </c>
      <c r="K871" s="90" t="s">
        <v>451</v>
      </c>
      <c r="L871" t="s">
        <v>110</v>
      </c>
    </row>
    <row r="872" spans="1:13" x14ac:dyDescent="0.25">
      <c r="A872" t="s">
        <v>257</v>
      </c>
      <c r="B872" t="s">
        <v>275</v>
      </c>
      <c r="C872" s="138" t="s">
        <v>147</v>
      </c>
      <c r="D872" t="s">
        <v>148</v>
      </c>
      <c r="E872" t="s">
        <v>350</v>
      </c>
      <c r="F872">
        <v>800</v>
      </c>
      <c r="G872">
        <v>0</v>
      </c>
      <c r="H872">
        <v>8</v>
      </c>
      <c r="I872" s="90">
        <v>0</v>
      </c>
      <c r="J872" s="90" t="s">
        <v>257</v>
      </c>
      <c r="K872" s="90" t="s">
        <v>451</v>
      </c>
      <c r="L872" t="s">
        <v>257</v>
      </c>
    </row>
    <row r="873" spans="1:13" x14ac:dyDescent="0.25">
      <c r="A873" t="s">
        <v>257</v>
      </c>
      <c r="B873" t="s">
        <v>275</v>
      </c>
      <c r="C873" s="138" t="s">
        <v>147</v>
      </c>
      <c r="D873" t="s">
        <v>148</v>
      </c>
      <c r="E873" t="s">
        <v>350</v>
      </c>
      <c r="F873">
        <v>800</v>
      </c>
      <c r="G873">
        <v>0</v>
      </c>
      <c r="H873">
        <v>8</v>
      </c>
      <c r="I873" s="90">
        <v>808</v>
      </c>
      <c r="J873" s="90" t="s">
        <v>257</v>
      </c>
      <c r="K873" s="90" t="s">
        <v>451</v>
      </c>
      <c r="L873" t="s">
        <v>107</v>
      </c>
    </row>
    <row r="874" spans="1:13" x14ac:dyDescent="0.25">
      <c r="A874" t="s">
        <v>257</v>
      </c>
      <c r="B874" t="s">
        <v>276</v>
      </c>
      <c r="C874" s="138" t="s">
        <v>145</v>
      </c>
      <c r="D874" t="s">
        <v>381</v>
      </c>
      <c r="E874" t="s">
        <v>257</v>
      </c>
      <c r="F874">
        <v>0</v>
      </c>
      <c r="G874">
        <v>3900</v>
      </c>
      <c r="H874">
        <v>499.21</v>
      </c>
      <c r="I874" s="90">
        <v>4399.21</v>
      </c>
      <c r="J874" s="90" t="s">
        <v>257</v>
      </c>
      <c r="K874" s="90" t="s">
        <v>451</v>
      </c>
      <c r="L874" t="s">
        <v>129</v>
      </c>
    </row>
    <row r="875" spans="1:13" x14ac:dyDescent="0.25">
      <c r="A875" t="s">
        <v>257</v>
      </c>
      <c r="B875" t="s">
        <v>276</v>
      </c>
      <c r="C875" s="138" t="s">
        <v>145</v>
      </c>
      <c r="D875" t="s">
        <v>146</v>
      </c>
      <c r="E875" t="s">
        <v>359</v>
      </c>
      <c r="F875">
        <v>0</v>
      </c>
      <c r="G875">
        <v>3900</v>
      </c>
      <c r="H875">
        <v>499.21</v>
      </c>
      <c r="I875" s="90">
        <v>4399.21</v>
      </c>
      <c r="J875" s="90" t="s">
        <v>257</v>
      </c>
      <c r="K875" s="90" t="s">
        <v>451</v>
      </c>
      <c r="L875" t="s">
        <v>129</v>
      </c>
    </row>
    <row r="876" spans="1:13" x14ac:dyDescent="0.25">
      <c r="A876" t="s">
        <v>257</v>
      </c>
      <c r="B876" t="s">
        <v>262</v>
      </c>
      <c r="C876" s="138" t="s">
        <v>185</v>
      </c>
      <c r="D876" t="s">
        <v>186</v>
      </c>
      <c r="E876" t="s">
        <v>359</v>
      </c>
      <c r="F876">
        <v>0</v>
      </c>
      <c r="G876">
        <v>4650</v>
      </c>
      <c r="H876">
        <v>1082.32</v>
      </c>
      <c r="I876" s="90">
        <v>5732.32</v>
      </c>
      <c r="J876" s="90" t="s">
        <v>257</v>
      </c>
      <c r="K876" s="90" t="s">
        <v>451</v>
      </c>
      <c r="L876" t="s">
        <v>113</v>
      </c>
    </row>
    <row r="877" spans="1:13" x14ac:dyDescent="0.25">
      <c r="A877" t="s">
        <v>257</v>
      </c>
      <c r="B877" t="s">
        <v>262</v>
      </c>
      <c r="C877" s="138" t="s">
        <v>238</v>
      </c>
      <c r="D877" t="s">
        <v>239</v>
      </c>
      <c r="E877" t="s">
        <v>359</v>
      </c>
      <c r="F877">
        <v>0</v>
      </c>
      <c r="G877">
        <v>3200</v>
      </c>
      <c r="H877">
        <v>1701.89</v>
      </c>
      <c r="I877" s="90">
        <v>4901.89</v>
      </c>
      <c r="J877" s="90" t="s">
        <v>257</v>
      </c>
      <c r="K877" s="90" t="s">
        <v>451</v>
      </c>
      <c r="L877" t="s">
        <v>107</v>
      </c>
    </row>
    <row r="878" spans="1:13" x14ac:dyDescent="0.25">
      <c r="A878" t="s">
        <v>257</v>
      </c>
      <c r="B878" t="s">
        <v>262</v>
      </c>
      <c r="C878" s="138" t="s">
        <v>185</v>
      </c>
      <c r="D878" t="s">
        <v>186</v>
      </c>
      <c r="E878" t="s">
        <v>359</v>
      </c>
      <c r="F878">
        <v>0</v>
      </c>
      <c r="G878">
        <v>4650</v>
      </c>
      <c r="H878">
        <v>1082.32</v>
      </c>
      <c r="I878" s="90">
        <v>5732.32</v>
      </c>
      <c r="J878" s="90" t="s">
        <v>257</v>
      </c>
      <c r="K878" s="90" t="s">
        <v>451</v>
      </c>
      <c r="L878" t="s">
        <v>113</v>
      </c>
    </row>
    <row r="879" spans="1:13" x14ac:dyDescent="0.25">
      <c r="A879" t="s">
        <v>257</v>
      </c>
      <c r="B879" t="s">
        <v>262</v>
      </c>
      <c r="C879" s="138" t="s">
        <v>238</v>
      </c>
      <c r="D879" t="s">
        <v>239</v>
      </c>
      <c r="E879" t="s">
        <v>359</v>
      </c>
      <c r="F879">
        <v>0</v>
      </c>
      <c r="G879">
        <v>3200</v>
      </c>
      <c r="H879">
        <v>1701.89</v>
      </c>
      <c r="I879" s="90">
        <v>4901.89</v>
      </c>
      <c r="J879" s="90" t="s">
        <v>257</v>
      </c>
      <c r="K879" s="90" t="s">
        <v>451</v>
      </c>
      <c r="L879" t="s">
        <v>107</v>
      </c>
    </row>
    <row r="880" spans="1:13" x14ac:dyDescent="0.25">
      <c r="A880" t="s">
        <v>257</v>
      </c>
      <c r="B880" t="s">
        <v>262</v>
      </c>
      <c r="C880" s="138" t="s">
        <v>185</v>
      </c>
      <c r="D880" t="s">
        <v>186</v>
      </c>
      <c r="E880" t="s">
        <v>359</v>
      </c>
      <c r="F880">
        <v>0</v>
      </c>
      <c r="G880">
        <v>4650</v>
      </c>
      <c r="H880">
        <v>1082.32</v>
      </c>
      <c r="I880" s="90">
        <v>5732.32</v>
      </c>
      <c r="J880" s="90" t="s">
        <v>257</v>
      </c>
      <c r="K880" s="90" t="s">
        <v>451</v>
      </c>
      <c r="L880" t="s">
        <v>113</v>
      </c>
    </row>
    <row r="881" spans="1:13" x14ac:dyDescent="0.25">
      <c r="A881" t="s">
        <v>257</v>
      </c>
      <c r="B881" t="s">
        <v>262</v>
      </c>
      <c r="C881" s="138" t="s">
        <v>238</v>
      </c>
      <c r="D881" t="s">
        <v>239</v>
      </c>
      <c r="E881" t="s">
        <v>359</v>
      </c>
      <c r="F881">
        <v>0</v>
      </c>
      <c r="G881">
        <v>3200</v>
      </c>
      <c r="H881">
        <v>1701.89</v>
      </c>
      <c r="I881" s="90">
        <v>4901.89</v>
      </c>
      <c r="J881" s="90" t="s">
        <v>257</v>
      </c>
      <c r="K881" s="90" t="s">
        <v>451</v>
      </c>
      <c r="L881" t="s">
        <v>107</v>
      </c>
    </row>
    <row r="882" spans="1:13" x14ac:dyDescent="0.25">
      <c r="A882" t="s">
        <v>257</v>
      </c>
      <c r="B882" t="s">
        <v>262</v>
      </c>
      <c r="C882" s="138" t="s">
        <v>185</v>
      </c>
      <c r="D882" t="s">
        <v>186</v>
      </c>
      <c r="E882" t="s">
        <v>359</v>
      </c>
      <c r="F882">
        <v>0</v>
      </c>
      <c r="G882">
        <v>4650</v>
      </c>
      <c r="H882">
        <v>1082.32</v>
      </c>
      <c r="I882" s="90">
        <v>5732.32</v>
      </c>
      <c r="J882" s="90" t="s">
        <v>257</v>
      </c>
      <c r="K882" s="90" t="s">
        <v>451</v>
      </c>
      <c r="L882" t="s">
        <v>113</v>
      </c>
    </row>
    <row r="883" spans="1:13" x14ac:dyDescent="0.25">
      <c r="A883" t="s">
        <v>257</v>
      </c>
      <c r="B883" t="s">
        <v>262</v>
      </c>
      <c r="C883" s="138" t="s">
        <v>238</v>
      </c>
      <c r="D883" t="s">
        <v>239</v>
      </c>
      <c r="E883" t="s">
        <v>359</v>
      </c>
      <c r="F883">
        <v>0</v>
      </c>
      <c r="G883">
        <v>3200</v>
      </c>
      <c r="H883">
        <v>1701.89</v>
      </c>
      <c r="I883" s="90">
        <v>4901.89</v>
      </c>
      <c r="J883" s="90" t="s">
        <v>257</v>
      </c>
      <c r="K883" s="90" t="s">
        <v>451</v>
      </c>
      <c r="L883" t="s">
        <v>107</v>
      </c>
    </row>
    <row r="884" spans="1:13" x14ac:dyDescent="0.25">
      <c r="A884" t="s">
        <v>257</v>
      </c>
      <c r="B884" t="s">
        <v>262</v>
      </c>
      <c r="C884" s="138" t="s">
        <v>238</v>
      </c>
      <c r="D884" t="s">
        <v>239</v>
      </c>
      <c r="E884" t="s">
        <v>359</v>
      </c>
      <c r="F884">
        <v>0</v>
      </c>
      <c r="G884">
        <v>3200</v>
      </c>
      <c r="H884">
        <v>1701.89</v>
      </c>
      <c r="I884" s="90">
        <v>4901.89</v>
      </c>
      <c r="J884" s="90" t="s">
        <v>257</v>
      </c>
      <c r="K884" s="90" t="s">
        <v>451</v>
      </c>
      <c r="L884" t="s">
        <v>107</v>
      </c>
    </row>
    <row r="885" spans="1:13" x14ac:dyDescent="0.25">
      <c r="A885" t="s">
        <v>257</v>
      </c>
      <c r="B885" t="s">
        <v>262</v>
      </c>
      <c r="C885" s="138" t="s">
        <v>238</v>
      </c>
      <c r="D885" t="s">
        <v>239</v>
      </c>
      <c r="E885" t="s">
        <v>359</v>
      </c>
      <c r="F885">
        <v>0</v>
      </c>
      <c r="G885">
        <v>3200</v>
      </c>
      <c r="H885">
        <v>1701.89</v>
      </c>
      <c r="I885" s="90">
        <v>4901.89</v>
      </c>
      <c r="J885" s="90" t="s">
        <v>257</v>
      </c>
      <c r="K885" s="90" t="s">
        <v>451</v>
      </c>
      <c r="L885" t="s">
        <v>107</v>
      </c>
    </row>
    <row r="886" spans="1:13" x14ac:dyDescent="0.25">
      <c r="A886" t="s">
        <v>257</v>
      </c>
      <c r="B886" t="s">
        <v>331</v>
      </c>
      <c r="C886" s="138" t="s">
        <v>133</v>
      </c>
      <c r="D886" t="s">
        <v>134</v>
      </c>
      <c r="E886" t="s">
        <v>377</v>
      </c>
      <c r="F886">
        <v>0</v>
      </c>
      <c r="G886">
        <v>5800</v>
      </c>
      <c r="H886">
        <v>175.85</v>
      </c>
      <c r="I886" s="90">
        <v>5975.85</v>
      </c>
      <c r="J886" s="90" t="s">
        <v>257</v>
      </c>
      <c r="K886" s="90" t="s">
        <v>451</v>
      </c>
      <c r="L886" t="s">
        <v>135</v>
      </c>
    </row>
    <row r="887" spans="1:13" x14ac:dyDescent="0.25">
      <c r="A887" t="s">
        <v>257</v>
      </c>
      <c r="B887" t="s">
        <v>331</v>
      </c>
      <c r="C887" s="138" t="s">
        <v>196</v>
      </c>
      <c r="D887" t="s">
        <v>197</v>
      </c>
      <c r="E887" t="s">
        <v>377</v>
      </c>
      <c r="F887">
        <v>0</v>
      </c>
      <c r="G887">
        <v>2625</v>
      </c>
      <c r="H887">
        <v>543.1366666666668</v>
      </c>
      <c r="I887" s="90">
        <v>3168.1366666666668</v>
      </c>
      <c r="J887" s="90" t="s">
        <v>257</v>
      </c>
      <c r="K887" s="90" t="s">
        <v>451</v>
      </c>
      <c r="L887" t="s">
        <v>110</v>
      </c>
    </row>
    <row r="888" spans="1:13" x14ac:dyDescent="0.25">
      <c r="A888" t="s">
        <v>257</v>
      </c>
      <c r="B888" t="s">
        <v>331</v>
      </c>
      <c r="C888" s="138" t="s">
        <v>152</v>
      </c>
      <c r="D888" t="s">
        <v>380</v>
      </c>
      <c r="E888" t="s">
        <v>377</v>
      </c>
      <c r="F888">
        <v>0</v>
      </c>
      <c r="G888">
        <v>2100</v>
      </c>
      <c r="H888">
        <v>471.2166666666667</v>
      </c>
      <c r="I888" s="90">
        <v>2571.2166666666667</v>
      </c>
      <c r="J888" s="90" t="s">
        <v>257</v>
      </c>
      <c r="K888" s="90" t="s">
        <v>451</v>
      </c>
      <c r="L888" t="s">
        <v>107</v>
      </c>
    </row>
    <row r="889" spans="1:13" x14ac:dyDescent="0.25">
      <c r="A889" t="s">
        <v>257</v>
      </c>
      <c r="B889" t="s">
        <v>331</v>
      </c>
      <c r="C889" s="138" t="s">
        <v>152</v>
      </c>
      <c r="D889" t="s">
        <v>380</v>
      </c>
      <c r="E889" t="s">
        <v>377</v>
      </c>
      <c r="F889">
        <v>0</v>
      </c>
      <c r="G889">
        <v>2100</v>
      </c>
      <c r="H889">
        <v>471.2166666666667</v>
      </c>
      <c r="I889" s="90">
        <v>2571.2166666666667</v>
      </c>
      <c r="J889" s="90" t="s">
        <v>257</v>
      </c>
      <c r="K889" s="90" t="s">
        <v>451</v>
      </c>
      <c r="L889" t="s">
        <v>107</v>
      </c>
    </row>
    <row r="890" spans="1:13" x14ac:dyDescent="0.25">
      <c r="A890" t="s">
        <v>257</v>
      </c>
      <c r="B890" t="s">
        <v>331</v>
      </c>
      <c r="C890" s="138" t="s">
        <v>196</v>
      </c>
      <c r="D890" t="s">
        <v>197</v>
      </c>
      <c r="E890" t="s">
        <v>377</v>
      </c>
      <c r="F890">
        <v>0</v>
      </c>
      <c r="G890">
        <v>2625</v>
      </c>
      <c r="H890">
        <v>543.1366666666668</v>
      </c>
      <c r="I890" s="90">
        <v>3168.1366666666668</v>
      </c>
      <c r="J890" s="90" t="s">
        <v>257</v>
      </c>
      <c r="K890" s="90" t="s">
        <v>451</v>
      </c>
      <c r="L890" t="s">
        <v>110</v>
      </c>
    </row>
    <row r="891" spans="1:13" x14ac:dyDescent="0.25">
      <c r="A891" t="s">
        <v>257</v>
      </c>
      <c r="B891" t="s">
        <v>331</v>
      </c>
      <c r="C891" s="138" t="s">
        <v>196</v>
      </c>
      <c r="D891" t="s">
        <v>197</v>
      </c>
      <c r="E891" t="s">
        <v>377</v>
      </c>
      <c r="F891">
        <v>0</v>
      </c>
      <c r="G891">
        <v>2625</v>
      </c>
      <c r="H891">
        <v>543.1366666666668</v>
      </c>
      <c r="I891" s="90">
        <v>3168.1366666666668</v>
      </c>
      <c r="J891" s="90" t="s">
        <v>257</v>
      </c>
      <c r="K891" s="90" t="s">
        <v>451</v>
      </c>
      <c r="L891" t="s">
        <v>110</v>
      </c>
    </row>
    <row r="892" spans="1:13" x14ac:dyDescent="0.25">
      <c r="A892" t="s">
        <v>257</v>
      </c>
      <c r="B892" t="s">
        <v>331</v>
      </c>
      <c r="C892" s="138" t="s">
        <v>196</v>
      </c>
      <c r="D892" t="s">
        <v>197</v>
      </c>
      <c r="E892" t="s">
        <v>377</v>
      </c>
      <c r="F892">
        <v>0</v>
      </c>
      <c r="G892">
        <v>2625</v>
      </c>
      <c r="H892">
        <v>901.9366666666667</v>
      </c>
      <c r="I892" s="90">
        <v>3526.9366666666665</v>
      </c>
      <c r="J892" s="90" t="s">
        <v>257</v>
      </c>
      <c r="K892" s="90" t="s">
        <v>451</v>
      </c>
      <c r="L892" t="s">
        <v>110</v>
      </c>
    </row>
    <row r="893" spans="1:13" x14ac:dyDescent="0.25">
      <c r="A893" t="s">
        <v>257</v>
      </c>
      <c r="B893" t="s">
        <v>278</v>
      </c>
      <c r="C893" s="138" t="s">
        <v>181</v>
      </c>
      <c r="D893" t="s">
        <v>182</v>
      </c>
      <c r="E893" t="s">
        <v>359</v>
      </c>
      <c r="F893">
        <v>0</v>
      </c>
      <c r="G893">
        <v>4000</v>
      </c>
      <c r="H893">
        <v>783.3200000000002</v>
      </c>
      <c r="I893" s="90">
        <v>4783.32</v>
      </c>
      <c r="J893" s="90" t="s">
        <v>257</v>
      </c>
      <c r="K893" s="90" t="s">
        <v>451</v>
      </c>
      <c r="L893" t="s">
        <v>125</v>
      </c>
    </row>
    <row r="894" spans="1:13" x14ac:dyDescent="0.25">
      <c r="A894" t="s">
        <v>257</v>
      </c>
      <c r="B894" t="s">
        <v>278</v>
      </c>
      <c r="C894" s="138" t="s">
        <v>181</v>
      </c>
      <c r="D894" t="s">
        <v>182</v>
      </c>
      <c r="E894" t="s">
        <v>359</v>
      </c>
      <c r="F894">
        <v>0</v>
      </c>
      <c r="G894">
        <v>4000</v>
      </c>
      <c r="H894">
        <v>783.3200000000002</v>
      </c>
      <c r="I894" s="90">
        <v>4783.32</v>
      </c>
      <c r="J894" s="90" t="s">
        <v>257</v>
      </c>
      <c r="K894" s="90" t="s">
        <v>451</v>
      </c>
      <c r="L894" t="s">
        <v>125</v>
      </c>
    </row>
    <row r="895" spans="1:13" x14ac:dyDescent="0.25">
      <c r="A895" t="s">
        <v>257</v>
      </c>
      <c r="B895" t="s">
        <v>278</v>
      </c>
      <c r="C895" s="138" t="s">
        <v>181</v>
      </c>
      <c r="D895" t="s">
        <v>182</v>
      </c>
      <c r="E895" t="s">
        <v>359</v>
      </c>
      <c r="F895">
        <v>0</v>
      </c>
      <c r="G895">
        <v>4000</v>
      </c>
      <c r="H895">
        <v>783.3200000000002</v>
      </c>
      <c r="I895" s="90">
        <v>4783.32</v>
      </c>
      <c r="J895" s="90" t="s">
        <v>257</v>
      </c>
      <c r="K895" s="90" t="s">
        <v>451</v>
      </c>
      <c r="L895" t="s">
        <v>125</v>
      </c>
    </row>
    <row r="896" spans="1:13" x14ac:dyDescent="0.25">
      <c r="A896" t="s">
        <v>257</v>
      </c>
      <c r="B896" t="s">
        <v>279</v>
      </c>
      <c r="C896" s="138" t="s">
        <v>144</v>
      </c>
      <c r="D896" t="s">
        <v>122</v>
      </c>
      <c r="E896" t="s">
        <v>359</v>
      </c>
      <c r="F896">
        <v>0</v>
      </c>
      <c r="G896">
        <v>4000</v>
      </c>
      <c r="H896">
        <v>818.1433333333333</v>
      </c>
      <c r="I896" s="90">
        <v>4818.143333333333</v>
      </c>
      <c r="J896" s="90" t="s">
        <v>257</v>
      </c>
      <c r="K896" s="90" t="s">
        <v>451</v>
      </c>
      <c r="L896" t="s">
        <v>106</v>
      </c>
    </row>
    <row r="897" spans="1:13" x14ac:dyDescent="0.25">
      <c r="A897" t="s">
        <v>257</v>
      </c>
      <c r="B897" t="s">
        <v>279</v>
      </c>
      <c r="C897" s="138" t="s">
        <v>165</v>
      </c>
      <c r="D897" t="s">
        <v>166</v>
      </c>
      <c r="E897" t="s">
        <v>359</v>
      </c>
      <c r="F897">
        <v>0</v>
      </c>
      <c r="G897">
        <v>4000</v>
      </c>
      <c r="H897">
        <v>1602.543333333333</v>
      </c>
      <c r="I897" s="90">
        <v>5602.543333333333</v>
      </c>
      <c r="J897" s="90" t="s">
        <v>257</v>
      </c>
      <c r="K897" s="90" t="s">
        <v>451</v>
      </c>
      <c r="L897" t="s">
        <v>125</v>
      </c>
    </row>
    <row r="898" spans="1:13" x14ac:dyDescent="0.25">
      <c r="A898" t="s">
        <v>257</v>
      </c>
      <c r="B898" t="s">
        <v>279</v>
      </c>
      <c r="C898" s="138" t="s">
        <v>141</v>
      </c>
      <c r="D898" t="s">
        <v>142</v>
      </c>
      <c r="E898" t="s">
        <v>359</v>
      </c>
      <c r="F898">
        <v>0</v>
      </c>
      <c r="G898">
        <v>4750</v>
      </c>
      <c r="H898">
        <v>498.40333333333336</v>
      </c>
      <c r="I898" s="90">
        <v>5248.403333333334</v>
      </c>
      <c r="J898" s="90" t="s">
        <v>257</v>
      </c>
      <c r="K898" s="90" t="s">
        <v>451</v>
      </c>
      <c r="L898" t="s">
        <v>113</v>
      </c>
    </row>
    <row r="899" spans="1:13" x14ac:dyDescent="0.25">
      <c r="A899" t="s">
        <v>257</v>
      </c>
      <c r="B899" t="s">
        <v>279</v>
      </c>
      <c r="C899" s="138" t="s">
        <v>144</v>
      </c>
      <c r="D899" t="s">
        <v>122</v>
      </c>
      <c r="E899" t="s">
        <v>359</v>
      </c>
      <c r="F899">
        <v>0</v>
      </c>
      <c r="G899">
        <v>4000</v>
      </c>
      <c r="H899">
        <v>818.1433333333333</v>
      </c>
      <c r="I899" s="90">
        <v>4818.143333333333</v>
      </c>
      <c r="J899" s="90" t="s">
        <v>257</v>
      </c>
      <c r="K899" s="90" t="s">
        <v>451</v>
      </c>
      <c r="L899" t="s">
        <v>106</v>
      </c>
    </row>
    <row r="900" spans="1:13" x14ac:dyDescent="0.25">
      <c r="A900" t="s">
        <v>257</v>
      </c>
      <c r="B900" t="s">
        <v>279</v>
      </c>
      <c r="C900" s="138" t="s">
        <v>141</v>
      </c>
      <c r="D900" t="s">
        <v>142</v>
      </c>
      <c r="E900" t="s">
        <v>359</v>
      </c>
      <c r="F900">
        <v>0</v>
      </c>
      <c r="G900">
        <v>4750</v>
      </c>
      <c r="H900">
        <v>498.40333333333336</v>
      </c>
      <c r="I900" s="90">
        <v>5248.403333333334</v>
      </c>
      <c r="J900" s="90" t="s">
        <v>257</v>
      </c>
      <c r="K900" s="90" t="s">
        <v>451</v>
      </c>
      <c r="L900" t="s">
        <v>113</v>
      </c>
    </row>
    <row r="901" spans="1:13" x14ac:dyDescent="0.25">
      <c r="A901" t="s">
        <v>257</v>
      </c>
      <c r="B901" t="s">
        <v>279</v>
      </c>
      <c r="C901" s="138" t="s">
        <v>165</v>
      </c>
      <c r="D901" t="s">
        <v>166</v>
      </c>
      <c r="E901" t="s">
        <v>359</v>
      </c>
      <c r="F901">
        <v>0</v>
      </c>
      <c r="G901">
        <v>4000</v>
      </c>
      <c r="H901">
        <v>1602.543333333333</v>
      </c>
      <c r="I901" s="90">
        <v>5602.543333333333</v>
      </c>
      <c r="J901" s="90" t="s">
        <v>257</v>
      </c>
      <c r="K901" s="90" t="s">
        <v>451</v>
      </c>
      <c r="L901" t="s">
        <v>125</v>
      </c>
    </row>
    <row r="902" spans="1:13" x14ac:dyDescent="0.25">
      <c r="A902" t="s">
        <v>257</v>
      </c>
      <c r="B902" t="s">
        <v>279</v>
      </c>
      <c r="C902" s="138" t="s">
        <v>165</v>
      </c>
      <c r="D902" t="s">
        <v>166</v>
      </c>
      <c r="E902" t="s">
        <v>359</v>
      </c>
      <c r="F902">
        <v>0</v>
      </c>
      <c r="G902">
        <v>4000</v>
      </c>
      <c r="H902">
        <v>1602.543333333333</v>
      </c>
      <c r="I902" s="90">
        <v>5602.543333333333</v>
      </c>
      <c r="J902" s="90" t="s">
        <v>257</v>
      </c>
      <c r="K902" s="90" t="s">
        <v>451</v>
      </c>
      <c r="L902" t="s">
        <v>125</v>
      </c>
    </row>
    <row r="903" spans="1:13" x14ac:dyDescent="0.25">
      <c r="A903" t="s">
        <v>257</v>
      </c>
      <c r="B903" t="s">
        <v>471</v>
      </c>
      <c r="C903" s="138" t="s">
        <v>169</v>
      </c>
      <c r="D903" t="s">
        <v>170</v>
      </c>
      <c r="E903" t="s">
        <v>359</v>
      </c>
      <c r="F903">
        <v>0</v>
      </c>
      <c r="G903">
        <v>4350</v>
      </c>
      <c r="H903">
        <v>729.06</v>
      </c>
      <c r="I903" s="90">
        <v>5079.0599999999995</v>
      </c>
      <c r="J903" s="90" t="s">
        <v>257</v>
      </c>
      <c r="K903" s="90" t="s">
        <v>451</v>
      </c>
      <c r="L903" t="s">
        <v>113</v>
      </c>
    </row>
    <row r="904" spans="1:13" x14ac:dyDescent="0.25">
      <c r="A904" t="s">
        <v>257</v>
      </c>
      <c r="B904" t="s">
        <v>471</v>
      </c>
      <c r="C904" s="138" t="s">
        <v>169</v>
      </c>
      <c r="D904" t="s">
        <v>170</v>
      </c>
      <c r="E904" t="s">
        <v>359</v>
      </c>
      <c r="F904">
        <v>0</v>
      </c>
      <c r="G904">
        <v>4350</v>
      </c>
      <c r="H904">
        <v>1144.4599999999998</v>
      </c>
      <c r="I904" s="90">
        <v>5494.46</v>
      </c>
      <c r="J904" s="90" t="s">
        <v>257</v>
      </c>
      <c r="K904" s="90" t="s">
        <v>451</v>
      </c>
      <c r="L904" t="s">
        <v>113</v>
      </c>
    </row>
    <row r="905" spans="1:13" x14ac:dyDescent="0.25">
      <c r="A905" t="s">
        <v>257</v>
      </c>
      <c r="B905" t="s">
        <v>471</v>
      </c>
      <c r="C905" s="138" t="s">
        <v>169</v>
      </c>
      <c r="D905" t="s">
        <v>170</v>
      </c>
      <c r="E905" t="s">
        <v>359</v>
      </c>
      <c r="F905">
        <v>0</v>
      </c>
      <c r="G905">
        <v>4350</v>
      </c>
      <c r="H905">
        <v>1144.4599999999998</v>
      </c>
      <c r="I905" s="90">
        <v>5494.46</v>
      </c>
      <c r="J905" s="90" t="s">
        <v>257</v>
      </c>
      <c r="K905" s="90" t="s">
        <v>451</v>
      </c>
      <c r="L905" t="s">
        <v>113</v>
      </c>
    </row>
    <row r="906" spans="1:13" x14ac:dyDescent="0.25">
      <c r="A906" t="s">
        <v>257</v>
      </c>
      <c r="B906" t="s">
        <v>280</v>
      </c>
      <c r="C906" s="138" t="s">
        <v>164</v>
      </c>
      <c r="D906" t="s">
        <v>86</v>
      </c>
      <c r="E906" t="s">
        <v>350</v>
      </c>
      <c r="F906">
        <v>700</v>
      </c>
      <c r="G906">
        <v>0</v>
      </c>
      <c r="H906">
        <v>770.5699999999999</v>
      </c>
      <c r="I906" s="90">
        <v>1470.57</v>
      </c>
      <c r="J906" s="90" t="s">
        <v>257</v>
      </c>
      <c r="K906" s="90" t="s">
        <v>451</v>
      </c>
      <c r="L906" t="s">
        <v>107</v>
      </c>
    </row>
    <row r="907" spans="1:13" x14ac:dyDescent="0.25">
      <c r="A907" t="s">
        <v>257</v>
      </c>
      <c r="B907" t="s">
        <v>280</v>
      </c>
      <c r="C907" s="138" t="s">
        <v>164</v>
      </c>
      <c r="D907" t="s">
        <v>86</v>
      </c>
      <c r="E907" t="s">
        <v>350</v>
      </c>
      <c r="F907">
        <v>700</v>
      </c>
      <c r="G907">
        <v>0</v>
      </c>
      <c r="H907">
        <v>783.6099999999999</v>
      </c>
      <c r="I907" s="90">
        <v>1483.61</v>
      </c>
      <c r="J907" s="90" t="s">
        <v>257</v>
      </c>
      <c r="K907" s="90" t="s">
        <v>451</v>
      </c>
      <c r="L907" t="s">
        <v>107</v>
      </c>
    </row>
    <row r="908" spans="1:13" x14ac:dyDescent="0.25">
      <c r="A908" t="s">
        <v>257</v>
      </c>
      <c r="B908" t="s">
        <v>269</v>
      </c>
      <c r="C908" s="138" t="s">
        <v>195</v>
      </c>
      <c r="D908" t="s">
        <v>122</v>
      </c>
      <c r="E908" t="s">
        <v>359</v>
      </c>
      <c r="F908">
        <v>0</v>
      </c>
      <c r="G908">
        <v>3500</v>
      </c>
      <c r="H908">
        <v>779.18</v>
      </c>
      <c r="I908" s="90">
        <v>4279.18</v>
      </c>
      <c r="J908" s="90" t="s">
        <v>257</v>
      </c>
      <c r="K908" s="90" t="s">
        <v>451</v>
      </c>
      <c r="L908" t="s">
        <v>110</v>
      </c>
    </row>
    <row r="909" spans="1:13" x14ac:dyDescent="0.25">
      <c r="A909" t="s">
        <v>257</v>
      </c>
      <c r="B909" t="s">
        <v>269</v>
      </c>
      <c r="C909" s="138" t="s">
        <v>176</v>
      </c>
      <c r="D909" t="s">
        <v>131</v>
      </c>
      <c r="E909" t="s">
        <v>359</v>
      </c>
      <c r="F909">
        <v>0</v>
      </c>
      <c r="G909">
        <v>3500</v>
      </c>
      <c r="H909">
        <v>890.79</v>
      </c>
      <c r="I909" s="90">
        <v>4390.79</v>
      </c>
      <c r="J909" s="90" t="s">
        <v>257</v>
      </c>
      <c r="K909" s="90" t="s">
        <v>451</v>
      </c>
      <c r="L909" t="s">
        <v>129</v>
      </c>
    </row>
    <row r="910" spans="1:13" x14ac:dyDescent="0.25">
      <c r="A910" t="s">
        <v>257</v>
      </c>
      <c r="B910" t="s">
        <v>269</v>
      </c>
      <c r="C910" s="138" t="s">
        <v>130</v>
      </c>
      <c r="D910" t="s">
        <v>131</v>
      </c>
      <c r="E910" t="s">
        <v>359</v>
      </c>
      <c r="F910">
        <v>0</v>
      </c>
      <c r="G910">
        <v>5075</v>
      </c>
      <c r="H910">
        <v>402.23</v>
      </c>
      <c r="I910" s="90">
        <v>5477.23</v>
      </c>
      <c r="J910" s="90" t="s">
        <v>257</v>
      </c>
      <c r="K910" s="90" t="s">
        <v>451</v>
      </c>
      <c r="L910" t="s">
        <v>113</v>
      </c>
    </row>
    <row r="911" spans="1:13" x14ac:dyDescent="0.25">
      <c r="A911" t="s">
        <v>257</v>
      </c>
      <c r="B911" t="s">
        <v>269</v>
      </c>
      <c r="C911" s="138" t="s">
        <v>176</v>
      </c>
      <c r="D911" t="s">
        <v>131</v>
      </c>
      <c r="E911" t="s">
        <v>359</v>
      </c>
      <c r="F911">
        <v>0</v>
      </c>
      <c r="G911">
        <v>3500</v>
      </c>
      <c r="H911">
        <v>890.79</v>
      </c>
      <c r="I911" s="90">
        <v>4390.79</v>
      </c>
      <c r="J911" s="90" t="s">
        <v>257</v>
      </c>
      <c r="K911" s="90" t="s">
        <v>451</v>
      </c>
      <c r="L911" t="s">
        <v>129</v>
      </c>
    </row>
    <row r="912" spans="1:13" x14ac:dyDescent="0.25">
      <c r="A912" t="s">
        <v>257</v>
      </c>
      <c r="B912" t="s">
        <v>269</v>
      </c>
      <c r="C912" s="138" t="s">
        <v>195</v>
      </c>
      <c r="D912" t="s">
        <v>122</v>
      </c>
      <c r="E912" t="s">
        <v>359</v>
      </c>
      <c r="F912">
        <v>0</v>
      </c>
      <c r="G912">
        <v>3500</v>
      </c>
      <c r="H912">
        <v>779.18</v>
      </c>
      <c r="I912" s="90">
        <v>4279.18</v>
      </c>
      <c r="J912" s="90" t="s">
        <v>257</v>
      </c>
      <c r="K912" s="90" t="s">
        <v>451</v>
      </c>
      <c r="L912" t="s">
        <v>110</v>
      </c>
    </row>
    <row r="913" spans="1:13" x14ac:dyDescent="0.25">
      <c r="A913" t="s">
        <v>257</v>
      </c>
      <c r="B913" t="s">
        <v>269</v>
      </c>
      <c r="C913" s="138" t="s">
        <v>176</v>
      </c>
      <c r="D913" t="s">
        <v>131</v>
      </c>
      <c r="E913" t="s">
        <v>359</v>
      </c>
      <c r="F913">
        <v>0</v>
      </c>
      <c r="G913">
        <v>3500</v>
      </c>
      <c r="H913">
        <v>890.79</v>
      </c>
      <c r="I913" s="90">
        <v>4390.79</v>
      </c>
      <c r="J913" s="90" t="s">
        <v>257</v>
      </c>
      <c r="K913" s="90" t="s">
        <v>451</v>
      </c>
      <c r="L913" t="s">
        <v>129</v>
      </c>
    </row>
    <row r="914" spans="1:13" x14ac:dyDescent="0.25">
      <c r="A914" t="s">
        <v>257</v>
      </c>
      <c r="B914" t="s">
        <v>269</v>
      </c>
      <c r="C914" s="138" t="s">
        <v>195</v>
      </c>
      <c r="D914" t="s">
        <v>122</v>
      </c>
      <c r="E914" t="s">
        <v>359</v>
      </c>
      <c r="F914">
        <v>0</v>
      </c>
      <c r="G914">
        <v>3500</v>
      </c>
      <c r="H914">
        <v>779.18</v>
      </c>
      <c r="I914" s="90">
        <v>4279.18</v>
      </c>
      <c r="J914" s="90" t="s">
        <v>257</v>
      </c>
      <c r="K914" s="90" t="s">
        <v>451</v>
      </c>
      <c r="L914" t="s">
        <v>110</v>
      </c>
    </row>
    <row r="915" spans="1:13" x14ac:dyDescent="0.25">
      <c r="A915" t="s">
        <v>257</v>
      </c>
      <c r="B915" t="s">
        <v>269</v>
      </c>
      <c r="C915" s="138" t="s">
        <v>195</v>
      </c>
      <c r="D915" t="s">
        <v>122</v>
      </c>
      <c r="E915" t="s">
        <v>359</v>
      </c>
      <c r="F915">
        <v>0</v>
      </c>
      <c r="G915">
        <v>3500</v>
      </c>
      <c r="H915">
        <v>779.18</v>
      </c>
      <c r="I915" s="90">
        <v>4279.18</v>
      </c>
      <c r="J915" s="90" t="s">
        <v>257</v>
      </c>
      <c r="K915" s="90" t="s">
        <v>451</v>
      </c>
      <c r="L915" t="s">
        <v>110</v>
      </c>
    </row>
    <row r="916" spans="1:13" x14ac:dyDescent="0.25">
      <c r="A916" t="s">
        <v>257</v>
      </c>
      <c r="B916" t="s">
        <v>281</v>
      </c>
      <c r="C916" s="138" t="s">
        <v>137</v>
      </c>
      <c r="D916" t="s">
        <v>138</v>
      </c>
      <c r="E916" t="s">
        <v>350</v>
      </c>
      <c r="F916">
        <v>200</v>
      </c>
      <c r="G916">
        <v>0</v>
      </c>
      <c r="H916">
        <v>0</v>
      </c>
      <c r="I916" s="90">
        <v>200</v>
      </c>
      <c r="J916" s="90" t="s">
        <v>257</v>
      </c>
      <c r="K916" s="90" t="s">
        <v>451</v>
      </c>
      <c r="L916" t="s">
        <v>107</v>
      </c>
    </row>
    <row r="917" spans="1:13" x14ac:dyDescent="0.25">
      <c r="A917" t="s">
        <v>257</v>
      </c>
      <c r="B917" t="s">
        <v>472</v>
      </c>
      <c r="C917" s="138" t="s">
        <v>378</v>
      </c>
      <c r="D917" t="s">
        <v>86</v>
      </c>
      <c r="E917" t="s">
        <v>359</v>
      </c>
      <c r="F917">
        <v>0</v>
      </c>
      <c r="G917">
        <v>4252.51</v>
      </c>
      <c r="H917">
        <v>643.2900000000001</v>
      </c>
      <c r="I917" s="90">
        <v>4895.8</v>
      </c>
      <c r="J917" s="90" t="s">
        <v>257</v>
      </c>
      <c r="K917" s="90" t="s">
        <v>451</v>
      </c>
      <c r="L917" t="s">
        <v>113</v>
      </c>
    </row>
    <row r="918" spans="1:13" x14ac:dyDescent="0.25">
      <c r="A918" t="s">
        <v>257</v>
      </c>
      <c r="B918" t="s">
        <v>472</v>
      </c>
      <c r="C918" s="138" t="s">
        <v>378</v>
      </c>
      <c r="D918" t="s">
        <v>86</v>
      </c>
      <c r="E918" t="s">
        <v>359</v>
      </c>
      <c r="F918">
        <v>0</v>
      </c>
      <c r="G918">
        <v>4252.51</v>
      </c>
      <c r="H918">
        <v>643.2900000000001</v>
      </c>
      <c r="I918" s="90">
        <v>4895.8</v>
      </c>
      <c r="J918" s="90" t="s">
        <v>257</v>
      </c>
      <c r="K918" s="90" t="s">
        <v>451</v>
      </c>
      <c r="L918" t="s">
        <v>113</v>
      </c>
    </row>
    <row r="919" spans="1:13" x14ac:dyDescent="0.25">
      <c r="A919" t="s">
        <v>257</v>
      </c>
      <c r="B919" t="s">
        <v>268</v>
      </c>
      <c r="C919" s="138" t="s">
        <v>177</v>
      </c>
      <c r="D919" t="s">
        <v>178</v>
      </c>
      <c r="E919" t="s">
        <v>359</v>
      </c>
      <c r="F919">
        <v>0</v>
      </c>
      <c r="G919">
        <v>4250</v>
      </c>
      <c r="H919">
        <v>4111.51</v>
      </c>
      <c r="I919" s="90">
        <v>8361.51</v>
      </c>
      <c r="J919" s="90" t="s">
        <v>257</v>
      </c>
      <c r="K919" s="90" t="s">
        <v>451</v>
      </c>
      <c r="L919" t="s">
        <v>135</v>
      </c>
    </row>
    <row r="920" spans="1:13" x14ac:dyDescent="0.25">
      <c r="A920" t="s">
        <v>257</v>
      </c>
      <c r="B920" t="s">
        <v>268</v>
      </c>
      <c r="C920" s="138" t="s">
        <v>177</v>
      </c>
      <c r="D920" t="s">
        <v>178</v>
      </c>
      <c r="E920" t="s">
        <v>359</v>
      </c>
      <c r="F920">
        <v>0</v>
      </c>
      <c r="G920">
        <v>4250</v>
      </c>
      <c r="H920">
        <v>4111.51</v>
      </c>
      <c r="I920" s="90">
        <v>8361.51</v>
      </c>
      <c r="J920" s="90" t="s">
        <v>257</v>
      </c>
      <c r="K920" s="90" t="s">
        <v>451</v>
      </c>
      <c r="L920" t="s">
        <v>135</v>
      </c>
    </row>
    <row r="921" spans="1:13" x14ac:dyDescent="0.25">
      <c r="A921" t="s">
        <v>257</v>
      </c>
      <c r="B921" t="s">
        <v>268</v>
      </c>
      <c r="C921" s="138" t="s">
        <v>177</v>
      </c>
      <c r="D921" t="s">
        <v>178</v>
      </c>
      <c r="E921" t="s">
        <v>359</v>
      </c>
      <c r="F921">
        <v>1500</v>
      </c>
      <c r="G921">
        <v>4250</v>
      </c>
      <c r="H921">
        <v>4111.51</v>
      </c>
      <c r="I921" s="90">
        <v>8361.51</v>
      </c>
      <c r="J921" s="90" t="s">
        <v>257</v>
      </c>
      <c r="K921" s="90" t="s">
        <v>451</v>
      </c>
      <c r="L921" t="s">
        <v>107</v>
      </c>
    </row>
    <row r="922" spans="1:13" x14ac:dyDescent="0.25">
      <c r="A922" t="s">
        <v>257</v>
      </c>
      <c r="B922" t="s">
        <v>473</v>
      </c>
      <c r="C922" s="138" t="s">
        <v>127</v>
      </c>
      <c r="D922" t="s">
        <v>128</v>
      </c>
      <c r="E922" t="s">
        <v>257</v>
      </c>
      <c r="F922">
        <v>0</v>
      </c>
      <c r="G922">
        <v>4250</v>
      </c>
      <c r="H922">
        <v>0</v>
      </c>
      <c r="I922" s="90">
        <v>4250</v>
      </c>
      <c r="J922" s="90" t="s">
        <v>257</v>
      </c>
      <c r="K922" s="90" t="s">
        <v>451</v>
      </c>
      <c r="L922" t="s">
        <v>257</v>
      </c>
    </row>
    <row r="923" spans="1:13" x14ac:dyDescent="0.25">
      <c r="A923" t="s">
        <v>257</v>
      </c>
      <c r="B923" t="s">
        <v>473</v>
      </c>
      <c r="C923" s="138" t="s">
        <v>127</v>
      </c>
      <c r="D923" t="s">
        <v>128</v>
      </c>
      <c r="E923" t="s">
        <v>359</v>
      </c>
      <c r="F923">
        <v>0</v>
      </c>
      <c r="G923">
        <v>4250</v>
      </c>
      <c r="H923">
        <v>1187.63</v>
      </c>
      <c r="I923" s="90">
        <v>5437.63</v>
      </c>
      <c r="J923" s="90" t="s">
        <v>257</v>
      </c>
      <c r="K923" s="90" t="s">
        <v>451</v>
      </c>
      <c r="L923" t="s">
        <v>129</v>
      </c>
    </row>
    <row r="924" spans="1:13" x14ac:dyDescent="0.25">
      <c r="A924" t="s">
        <v>257</v>
      </c>
      <c r="B924" t="s">
        <v>474</v>
      </c>
      <c r="C924" s="138" t="s">
        <v>171</v>
      </c>
      <c r="D924" t="s">
        <v>122</v>
      </c>
      <c r="E924" t="s">
        <v>257</v>
      </c>
      <c r="F924">
        <v>0</v>
      </c>
      <c r="G924">
        <v>1400</v>
      </c>
      <c r="H924">
        <v>0</v>
      </c>
      <c r="I924" s="90">
        <v>1400</v>
      </c>
      <c r="J924" s="90" t="s">
        <v>257</v>
      </c>
      <c r="K924" s="90" t="s">
        <v>451</v>
      </c>
      <c r="L924" t="s">
        <v>257</v>
      </c>
    </row>
    <row r="925" spans="1:13" x14ac:dyDescent="0.25">
      <c r="A925" t="s">
        <v>257</v>
      </c>
      <c r="B925" t="s">
        <v>474</v>
      </c>
      <c r="C925" s="138" t="s">
        <v>171</v>
      </c>
      <c r="D925" t="s">
        <v>122</v>
      </c>
      <c r="E925" t="s">
        <v>359</v>
      </c>
      <c r="F925">
        <v>0</v>
      </c>
      <c r="G925">
        <v>1400</v>
      </c>
      <c r="H925">
        <v>1131.6100000000001</v>
      </c>
      <c r="I925" s="90">
        <v>0</v>
      </c>
      <c r="J925" s="90" t="s">
        <v>257</v>
      </c>
      <c r="K925" s="90" t="s">
        <v>451</v>
      </c>
      <c r="L925" t="s">
        <v>107</v>
      </c>
    </row>
    <row r="926" spans="1:13" x14ac:dyDescent="0.25">
      <c r="A926" t="s">
        <v>257</v>
      </c>
      <c r="B926" t="s">
        <v>474</v>
      </c>
      <c r="C926" s="138" t="s">
        <v>171</v>
      </c>
      <c r="D926" t="s">
        <v>122</v>
      </c>
      <c r="E926" t="s">
        <v>359</v>
      </c>
      <c r="F926">
        <v>0</v>
      </c>
      <c r="G926">
        <v>1400</v>
      </c>
      <c r="H926">
        <v>1239.2800000000002</v>
      </c>
      <c r="I926" s="90">
        <v>2639.28</v>
      </c>
      <c r="J926" s="90" t="s">
        <v>257</v>
      </c>
      <c r="K926" s="90" t="s">
        <v>451</v>
      </c>
      <c r="L926" t="s">
        <v>107</v>
      </c>
    </row>
    <row r="927" spans="1:13" x14ac:dyDescent="0.25">
      <c r="A927" t="s">
        <v>257</v>
      </c>
      <c r="B927" t="s">
        <v>474</v>
      </c>
      <c r="C927" s="138" t="s">
        <v>171</v>
      </c>
      <c r="D927" t="s">
        <v>122</v>
      </c>
      <c r="E927" t="s">
        <v>359</v>
      </c>
      <c r="F927">
        <v>0</v>
      </c>
      <c r="G927">
        <v>1400</v>
      </c>
      <c r="H927">
        <v>1239.2800000000002</v>
      </c>
      <c r="I927" s="90">
        <v>2639.28</v>
      </c>
      <c r="J927" s="90" t="s">
        <v>257</v>
      </c>
      <c r="K927" s="90" t="s">
        <v>451</v>
      </c>
      <c r="L927" t="s">
        <v>107</v>
      </c>
    </row>
    <row r="928" spans="1:13" x14ac:dyDescent="0.25">
      <c r="A928" t="s">
        <v>257</v>
      </c>
      <c r="B928" t="s">
        <v>475</v>
      </c>
      <c r="C928" s="138" t="s">
        <v>374</v>
      </c>
      <c r="D928" t="s">
        <v>122</v>
      </c>
      <c r="E928" t="s">
        <v>257</v>
      </c>
      <c r="F928">
        <v>0</v>
      </c>
      <c r="G928">
        <v>2000</v>
      </c>
      <c r="H928">
        <v>0</v>
      </c>
      <c r="I928" s="90">
        <v>2000</v>
      </c>
      <c r="J928" s="90" t="s">
        <v>257</v>
      </c>
      <c r="K928" s="90" t="s">
        <v>451</v>
      </c>
      <c r="L928" t="s">
        <v>257</v>
      </c>
    </row>
    <row r="929" spans="1:13" x14ac:dyDescent="0.25">
      <c r="A929" t="s">
        <v>257</v>
      </c>
      <c r="B929" t="s">
        <v>475</v>
      </c>
      <c r="C929" s="138" t="s">
        <v>121</v>
      </c>
      <c r="D929" t="s">
        <v>122</v>
      </c>
      <c r="E929" t="s">
        <v>377</v>
      </c>
      <c r="F929">
        <v>0</v>
      </c>
      <c r="G929">
        <v>2000</v>
      </c>
      <c r="H929">
        <v>386.87</v>
      </c>
      <c r="I929" s="90">
        <v>2386.87</v>
      </c>
      <c r="J929" s="90" t="s">
        <v>257</v>
      </c>
      <c r="K929" s="90" t="s">
        <v>451</v>
      </c>
      <c r="L929" t="s">
        <v>110</v>
      </c>
    </row>
    <row r="930" spans="1:13" x14ac:dyDescent="0.25">
      <c r="A930" t="s">
        <v>257</v>
      </c>
      <c r="B930" t="s">
        <v>330</v>
      </c>
      <c r="C930" s="138" t="s">
        <v>115</v>
      </c>
      <c r="D930" t="s">
        <v>86</v>
      </c>
      <c r="E930" t="s">
        <v>359</v>
      </c>
      <c r="F930">
        <v>0</v>
      </c>
      <c r="G930">
        <v>4400</v>
      </c>
      <c r="H930">
        <v>843.21</v>
      </c>
      <c r="I930" s="90">
        <v>5243.21</v>
      </c>
      <c r="J930" s="90" t="s">
        <v>257</v>
      </c>
      <c r="K930" s="90" t="s">
        <v>451</v>
      </c>
      <c r="L930" t="s">
        <v>257</v>
      </c>
    </row>
    <row r="931" spans="1:13" x14ac:dyDescent="0.25">
      <c r="A931" t="s">
        <v>257</v>
      </c>
      <c r="B931" t="s">
        <v>330</v>
      </c>
      <c r="C931" s="138" t="s">
        <v>103</v>
      </c>
      <c r="D931" t="s">
        <v>94</v>
      </c>
      <c r="E931" t="s">
        <v>359</v>
      </c>
      <c r="F931">
        <v>0</v>
      </c>
      <c r="G931">
        <v>1600</v>
      </c>
      <c r="H931">
        <v>364.54</v>
      </c>
      <c r="I931" s="90">
        <v>1964.54</v>
      </c>
      <c r="J931" s="90" t="s">
        <v>257</v>
      </c>
      <c r="K931" s="90" t="s">
        <v>451</v>
      </c>
      <c r="L931" t="s">
        <v>257</v>
      </c>
    </row>
    <row r="932" spans="1:13" x14ac:dyDescent="0.25">
      <c r="A932" t="s">
        <v>257</v>
      </c>
      <c r="B932" t="s">
        <v>330</v>
      </c>
      <c r="C932" s="138" t="s">
        <v>132</v>
      </c>
      <c r="D932" t="s">
        <v>94</v>
      </c>
      <c r="E932" t="s">
        <v>257</v>
      </c>
      <c r="F932">
        <v>0</v>
      </c>
      <c r="G932">
        <v>1500</v>
      </c>
      <c r="H932">
        <v>0</v>
      </c>
      <c r="I932" s="90">
        <v>1500</v>
      </c>
      <c r="J932" s="90" t="s">
        <v>257</v>
      </c>
      <c r="K932" s="90" t="s">
        <v>451</v>
      </c>
      <c r="L932" t="s">
        <v>257</v>
      </c>
    </row>
    <row r="933" spans="1:13" x14ac:dyDescent="0.25">
      <c r="A933" t="s">
        <v>257</v>
      </c>
      <c r="B933" t="s">
        <v>330</v>
      </c>
      <c r="C933" s="138" t="s">
        <v>115</v>
      </c>
      <c r="D933" t="s">
        <v>86</v>
      </c>
      <c r="E933" t="s">
        <v>359</v>
      </c>
      <c r="F933">
        <v>0</v>
      </c>
      <c r="G933">
        <v>4400</v>
      </c>
      <c r="H933">
        <v>1123.21</v>
      </c>
      <c r="I933" s="90">
        <v>5523.21</v>
      </c>
      <c r="J933" s="90" t="s">
        <v>257</v>
      </c>
      <c r="K933" s="90" t="s">
        <v>451</v>
      </c>
      <c r="L933" t="s">
        <v>113</v>
      </c>
    </row>
    <row r="934" spans="1:13" x14ac:dyDescent="0.25">
      <c r="A934" t="s">
        <v>257</v>
      </c>
      <c r="B934" t="s">
        <v>330</v>
      </c>
      <c r="C934" s="138" t="s">
        <v>132</v>
      </c>
      <c r="D934" t="s">
        <v>94</v>
      </c>
      <c r="E934" t="s">
        <v>359</v>
      </c>
      <c r="F934">
        <v>0</v>
      </c>
      <c r="G934">
        <v>1500</v>
      </c>
      <c r="H934">
        <v>1076.0000000000002</v>
      </c>
      <c r="I934" s="90">
        <v>2576</v>
      </c>
      <c r="J934" s="90" t="s">
        <v>257</v>
      </c>
      <c r="K934" s="90" t="s">
        <v>451</v>
      </c>
      <c r="L934" t="s">
        <v>113</v>
      </c>
    </row>
    <row r="935" spans="1:13" x14ac:dyDescent="0.25">
      <c r="A935" t="s">
        <v>257</v>
      </c>
      <c r="B935" t="s">
        <v>476</v>
      </c>
      <c r="C935" s="138" t="s">
        <v>112</v>
      </c>
      <c r="D935" t="s">
        <v>86</v>
      </c>
      <c r="E935" t="s">
        <v>359</v>
      </c>
      <c r="F935">
        <v>0</v>
      </c>
      <c r="G935">
        <v>3800</v>
      </c>
      <c r="H935">
        <v>742.54</v>
      </c>
      <c r="I935" s="90">
        <v>4542.54</v>
      </c>
      <c r="J935" s="90" t="s">
        <v>257</v>
      </c>
      <c r="K935" s="90" t="s">
        <v>451</v>
      </c>
      <c r="L935" t="s">
        <v>113</v>
      </c>
    </row>
    <row r="936" spans="1:13" x14ac:dyDescent="0.25">
      <c r="A936" t="s">
        <v>257</v>
      </c>
      <c r="B936" t="s">
        <v>477</v>
      </c>
      <c r="C936" s="138" t="s">
        <v>118</v>
      </c>
      <c r="D936" t="s">
        <v>119</v>
      </c>
      <c r="E936" t="s">
        <v>359</v>
      </c>
      <c r="F936">
        <v>0</v>
      </c>
      <c r="G936">
        <v>1400</v>
      </c>
      <c r="H936">
        <v>783.0500000000002</v>
      </c>
      <c r="I936" s="90">
        <v>2183.05</v>
      </c>
      <c r="J936" s="90" t="s">
        <v>257</v>
      </c>
      <c r="K936" s="90" t="s">
        <v>451</v>
      </c>
      <c r="L936" t="s">
        <v>257</v>
      </c>
    </row>
    <row r="937" spans="1:13" x14ac:dyDescent="0.25">
      <c r="A937" t="s">
        <v>257</v>
      </c>
      <c r="B937" t="s">
        <v>477</v>
      </c>
      <c r="C937" s="138" t="s">
        <v>118</v>
      </c>
      <c r="D937" t="s">
        <v>119</v>
      </c>
      <c r="E937" t="s">
        <v>359</v>
      </c>
      <c r="F937">
        <v>0</v>
      </c>
      <c r="G937">
        <v>1400</v>
      </c>
      <c r="H937">
        <v>1021.8499999999999</v>
      </c>
      <c r="I937" s="90">
        <v>2421.85</v>
      </c>
      <c r="J937" s="90" t="s">
        <v>257</v>
      </c>
      <c r="K937" s="90" t="s">
        <v>451</v>
      </c>
      <c r="L937" t="s">
        <v>107</v>
      </c>
    </row>
    <row r="938" spans="1:13" x14ac:dyDescent="0.25">
      <c r="A938" t="s">
        <v>257</v>
      </c>
      <c r="B938" t="s">
        <v>478</v>
      </c>
      <c r="C938" s="138" t="s">
        <v>112</v>
      </c>
      <c r="D938" t="s">
        <v>86</v>
      </c>
      <c r="E938" t="s">
        <v>359</v>
      </c>
      <c r="F938">
        <v>0</v>
      </c>
      <c r="G938">
        <v>3800</v>
      </c>
      <c r="H938">
        <v>742.54</v>
      </c>
      <c r="I938" s="90">
        <v>4542.54</v>
      </c>
      <c r="J938" s="90" t="s">
        <v>257</v>
      </c>
      <c r="K938" s="90" t="s">
        <v>451</v>
      </c>
      <c r="L938" t="s">
        <v>257</v>
      </c>
    </row>
    <row r="939" spans="1:13" x14ac:dyDescent="0.25">
      <c r="A939" t="s">
        <v>257</v>
      </c>
      <c r="B939" t="s">
        <v>329</v>
      </c>
      <c r="C939" s="138" t="s">
        <v>101</v>
      </c>
      <c r="D939" t="s">
        <v>102</v>
      </c>
      <c r="E939" t="s">
        <v>373</v>
      </c>
      <c r="F939">
        <v>0</v>
      </c>
      <c r="G939">
        <v>1000</v>
      </c>
      <c r="H939">
        <v>625.91</v>
      </c>
      <c r="I939" s="90">
        <v>1625.9099999999999</v>
      </c>
      <c r="J939" s="90" t="s">
        <v>257</v>
      </c>
      <c r="K939" s="90" t="s">
        <v>451</v>
      </c>
      <c r="L939" t="s">
        <v>257</v>
      </c>
    </row>
    <row r="940" spans="1:13" x14ac:dyDescent="0.25">
      <c r="A940" t="s">
        <v>257</v>
      </c>
      <c r="B940" t="s">
        <v>329</v>
      </c>
      <c r="C940" s="138" t="s">
        <v>123</v>
      </c>
      <c r="D940" t="s">
        <v>124</v>
      </c>
      <c r="E940" t="s">
        <v>365</v>
      </c>
      <c r="F940">
        <v>0</v>
      </c>
      <c r="G940">
        <v>1500</v>
      </c>
      <c r="H940">
        <v>2016.24</v>
      </c>
      <c r="I940" s="90">
        <v>3516.24</v>
      </c>
      <c r="J940" s="90" t="s">
        <v>257</v>
      </c>
      <c r="K940" s="90" t="s">
        <v>451</v>
      </c>
      <c r="L940" t="s">
        <v>257</v>
      </c>
    </row>
    <row r="941" spans="1:13" x14ac:dyDescent="0.25">
      <c r="A941" t="s">
        <v>257</v>
      </c>
      <c r="B941" t="s">
        <v>329</v>
      </c>
      <c r="C941" s="138" t="s">
        <v>123</v>
      </c>
      <c r="D941" t="s">
        <v>124</v>
      </c>
      <c r="E941" t="s">
        <v>376</v>
      </c>
      <c r="F941">
        <v>0</v>
      </c>
      <c r="G941">
        <v>1500</v>
      </c>
      <c r="H941">
        <v>2016.24</v>
      </c>
      <c r="I941" s="90">
        <v>3516.24</v>
      </c>
      <c r="J941" s="90" t="s">
        <v>257</v>
      </c>
      <c r="K941" s="90" t="s">
        <v>451</v>
      </c>
      <c r="L941" t="s">
        <v>125</v>
      </c>
    </row>
    <row r="942" spans="1:13" x14ac:dyDescent="0.25">
      <c r="A942" t="s">
        <v>257</v>
      </c>
      <c r="B942" t="s">
        <v>328</v>
      </c>
      <c r="C942" s="138" t="s">
        <v>126</v>
      </c>
      <c r="D942" t="s">
        <v>78</v>
      </c>
      <c r="E942" t="s">
        <v>351</v>
      </c>
      <c r="F942">
        <v>0</v>
      </c>
      <c r="G942">
        <v>3100</v>
      </c>
      <c r="H942">
        <v>426.9000000000005</v>
      </c>
      <c r="I942" s="90">
        <v>3526.9000000000005</v>
      </c>
      <c r="J942" s="90" t="s">
        <v>257</v>
      </c>
      <c r="K942" s="90" t="s">
        <v>451</v>
      </c>
      <c r="L942" t="s">
        <v>257</v>
      </c>
    </row>
    <row r="943" spans="1:13" x14ac:dyDescent="0.25">
      <c r="A943" t="s">
        <v>257</v>
      </c>
      <c r="B943" t="s">
        <v>328</v>
      </c>
      <c r="C943" s="138" t="s">
        <v>99</v>
      </c>
      <c r="D943" t="s">
        <v>100</v>
      </c>
      <c r="E943" t="s">
        <v>359</v>
      </c>
      <c r="F943">
        <v>0</v>
      </c>
      <c r="G943">
        <v>2800</v>
      </c>
      <c r="H943">
        <v>634.1300000000006</v>
      </c>
      <c r="I943" s="90">
        <v>3434.1300000000006</v>
      </c>
      <c r="J943" s="90" t="s">
        <v>257</v>
      </c>
      <c r="K943" s="90" t="s">
        <v>451</v>
      </c>
      <c r="L943" t="s">
        <v>257</v>
      </c>
    </row>
    <row r="944" spans="1:13" x14ac:dyDescent="0.25">
      <c r="A944" t="s">
        <v>257</v>
      </c>
      <c r="B944" t="s">
        <v>328</v>
      </c>
      <c r="C944" s="138" t="s">
        <v>126</v>
      </c>
      <c r="D944" t="s">
        <v>78</v>
      </c>
      <c r="E944" t="s">
        <v>359</v>
      </c>
      <c r="F944">
        <v>0</v>
      </c>
      <c r="G944">
        <v>3100</v>
      </c>
      <c r="H944">
        <v>849.3500000000001</v>
      </c>
      <c r="I944" s="90">
        <v>3949.3500000000004</v>
      </c>
      <c r="J944" s="90" t="s">
        <v>257</v>
      </c>
      <c r="K944" s="90" t="s">
        <v>451</v>
      </c>
      <c r="L944" t="s">
        <v>125</v>
      </c>
    </row>
    <row r="945" spans="1:13" x14ac:dyDescent="0.25">
      <c r="A945" t="s">
        <v>257</v>
      </c>
      <c r="B945" t="s">
        <v>479</v>
      </c>
      <c r="C945" s="138" t="s">
        <v>108</v>
      </c>
      <c r="D945" t="s">
        <v>109</v>
      </c>
      <c r="E945" t="s">
        <v>30</v>
      </c>
      <c r="F945">
        <v>0</v>
      </c>
      <c r="G945">
        <v>3400</v>
      </c>
      <c r="H945">
        <v>966.4300000000003</v>
      </c>
      <c r="I945" s="90">
        <v>4366.43</v>
      </c>
      <c r="J945" s="90" t="s">
        <v>257</v>
      </c>
      <c r="K945" s="90" t="s">
        <v>451</v>
      </c>
      <c r="L945" t="s">
        <v>257</v>
      </c>
    </row>
    <row r="946" spans="1:13" x14ac:dyDescent="0.25">
      <c r="A946" t="s">
        <v>257</v>
      </c>
      <c r="B946" t="s">
        <v>479</v>
      </c>
      <c r="C946" s="138" t="s">
        <v>108</v>
      </c>
      <c r="D946" t="s">
        <v>109</v>
      </c>
      <c r="E946" t="s">
        <v>359</v>
      </c>
      <c r="F946">
        <v>0</v>
      </c>
      <c r="G946">
        <v>3400</v>
      </c>
      <c r="H946">
        <v>986.43</v>
      </c>
      <c r="I946" s="90">
        <v>4386.43</v>
      </c>
      <c r="J946" s="90" t="s">
        <v>257</v>
      </c>
      <c r="K946" s="90" t="s">
        <v>451</v>
      </c>
      <c r="L946" t="s">
        <v>110</v>
      </c>
    </row>
    <row r="947" spans="1:13" x14ac:dyDescent="0.25">
      <c r="A947" t="s">
        <v>257</v>
      </c>
      <c r="B947" t="s">
        <v>480</v>
      </c>
      <c r="C947" s="138" t="s">
        <v>116</v>
      </c>
      <c r="D947" t="s">
        <v>81</v>
      </c>
      <c r="E947" t="s">
        <v>347</v>
      </c>
      <c r="F947">
        <v>0</v>
      </c>
      <c r="G947">
        <v>2100</v>
      </c>
      <c r="H947">
        <v>1049.04</v>
      </c>
      <c r="I947" s="90">
        <v>3149.04</v>
      </c>
      <c r="J947" s="90" t="s">
        <v>257</v>
      </c>
      <c r="K947" s="90" t="s">
        <v>451</v>
      </c>
      <c r="L947" t="s">
        <v>257</v>
      </c>
    </row>
    <row r="948" spans="1:13" x14ac:dyDescent="0.25">
      <c r="A948" t="s">
        <v>257</v>
      </c>
      <c r="B948" t="s">
        <v>480</v>
      </c>
      <c r="C948" s="138" t="s">
        <v>116</v>
      </c>
      <c r="D948" t="s">
        <v>81</v>
      </c>
      <c r="E948" t="s">
        <v>359</v>
      </c>
      <c r="F948">
        <v>0</v>
      </c>
      <c r="G948">
        <v>2100</v>
      </c>
      <c r="H948">
        <v>1049.04</v>
      </c>
      <c r="I948" s="90">
        <v>3149.04</v>
      </c>
      <c r="J948" s="90" t="s">
        <v>257</v>
      </c>
      <c r="K948" s="90" t="s">
        <v>451</v>
      </c>
      <c r="L948" t="s">
        <v>107</v>
      </c>
    </row>
    <row r="949" spans="1:13" x14ac:dyDescent="0.25">
      <c r="A949" t="s">
        <v>257</v>
      </c>
      <c r="B949" t="s">
        <v>327</v>
      </c>
      <c r="C949" s="138" t="s">
        <v>97</v>
      </c>
      <c r="D949" t="s">
        <v>98</v>
      </c>
      <c r="E949" t="s">
        <v>359</v>
      </c>
      <c r="F949">
        <v>0</v>
      </c>
      <c r="G949">
        <v>725</v>
      </c>
      <c r="H949">
        <v>185.3100000000001</v>
      </c>
      <c r="I949" s="90">
        <v>910.3100000000001</v>
      </c>
      <c r="J949" s="90" t="s">
        <v>257</v>
      </c>
      <c r="K949" s="90" t="s">
        <v>451</v>
      </c>
      <c r="L949" t="s">
        <v>257</v>
      </c>
    </row>
    <row r="950" spans="1:13" x14ac:dyDescent="0.25">
      <c r="A950" t="s">
        <v>257</v>
      </c>
      <c r="B950" t="s">
        <v>326</v>
      </c>
      <c r="C950" s="138" t="s">
        <v>95</v>
      </c>
      <c r="D950" t="s">
        <v>96</v>
      </c>
      <c r="E950" t="s">
        <v>359</v>
      </c>
      <c r="F950">
        <v>0</v>
      </c>
      <c r="G950">
        <v>325</v>
      </c>
      <c r="H950">
        <v>726.1599999999999</v>
      </c>
      <c r="I950" s="90">
        <v>1051.1599999999999</v>
      </c>
      <c r="J950" s="90" t="s">
        <v>257</v>
      </c>
      <c r="K950" s="90" t="s">
        <v>451</v>
      </c>
      <c r="L950" t="s">
        <v>257</v>
      </c>
    </row>
    <row r="951" spans="1:13" x14ac:dyDescent="0.25">
      <c r="A951" t="s">
        <v>257</v>
      </c>
      <c r="B951" t="s">
        <v>324</v>
      </c>
      <c r="C951" s="138" t="s">
        <v>91</v>
      </c>
      <c r="D951" t="s">
        <v>92</v>
      </c>
      <c r="E951" t="s">
        <v>347</v>
      </c>
      <c r="F951">
        <v>0</v>
      </c>
      <c r="G951">
        <v>1900</v>
      </c>
      <c r="H951">
        <v>550.67</v>
      </c>
      <c r="I951" s="90">
        <v>2450.67</v>
      </c>
      <c r="J951" s="90" t="s">
        <v>257</v>
      </c>
      <c r="K951" s="90" t="s">
        <v>451</v>
      </c>
      <c r="L951" t="s">
        <v>257</v>
      </c>
    </row>
    <row r="952" spans="1:13" x14ac:dyDescent="0.25">
      <c r="A952" t="s">
        <v>257</v>
      </c>
      <c r="B952" t="s">
        <v>325</v>
      </c>
      <c r="C952" s="138" t="s">
        <v>93</v>
      </c>
      <c r="D952" t="s">
        <v>94</v>
      </c>
      <c r="E952" t="s">
        <v>347</v>
      </c>
      <c r="F952">
        <v>0</v>
      </c>
      <c r="G952">
        <v>925</v>
      </c>
      <c r="H952">
        <v>724.24</v>
      </c>
      <c r="I952" s="90">
        <v>1649.24</v>
      </c>
      <c r="J952" s="90" t="s">
        <v>257</v>
      </c>
      <c r="K952" s="90" t="s">
        <v>451</v>
      </c>
      <c r="L952" t="s">
        <v>257</v>
      </c>
    </row>
    <row r="953" spans="1:13" x14ac:dyDescent="0.25">
      <c r="A953" t="s">
        <v>257</v>
      </c>
      <c r="B953" t="s">
        <v>286</v>
      </c>
      <c r="C953" s="138" t="s">
        <v>89</v>
      </c>
      <c r="D953" t="s">
        <v>90</v>
      </c>
      <c r="E953" t="s">
        <v>347</v>
      </c>
      <c r="F953">
        <v>0</v>
      </c>
      <c r="G953">
        <v>2500</v>
      </c>
      <c r="H953">
        <v>1030.94</v>
      </c>
      <c r="I953" s="90">
        <v>3530.94</v>
      </c>
      <c r="J953" s="90" t="s">
        <v>257</v>
      </c>
      <c r="K953" s="90" t="s">
        <v>451</v>
      </c>
      <c r="L953" t="s">
        <v>257</v>
      </c>
    </row>
    <row r="954" spans="1:13" x14ac:dyDescent="0.25">
      <c r="A954" t="s">
        <v>257</v>
      </c>
      <c r="B954" t="s">
        <v>481</v>
      </c>
      <c r="C954" s="138" t="s">
        <v>360</v>
      </c>
      <c r="D954" t="s">
        <v>361</v>
      </c>
      <c r="E954" t="s">
        <v>30</v>
      </c>
      <c r="F954">
        <v>0</v>
      </c>
      <c r="G954">
        <v>0</v>
      </c>
      <c r="H954">
        <v>0</v>
      </c>
      <c r="I954" s="90">
        <v>0</v>
      </c>
      <c r="J954" s="90" t="s">
        <v>257</v>
      </c>
      <c r="K954" s="90" t="s">
        <v>451</v>
      </c>
      <c r="L954" t="s">
        <v>257</v>
      </c>
    </row>
    <row r="955" spans="1:13" x14ac:dyDescent="0.25">
      <c r="A955" t="s">
        <v>257</v>
      </c>
      <c r="B955" t="s">
        <v>481</v>
      </c>
      <c r="C955" s="138" t="s">
        <v>360</v>
      </c>
      <c r="D955" t="s">
        <v>361</v>
      </c>
      <c r="E955" t="s">
        <v>30</v>
      </c>
      <c r="F955">
        <v>0</v>
      </c>
      <c r="G955">
        <v>0</v>
      </c>
      <c r="H955">
        <v>6.539999999999964</v>
      </c>
      <c r="I955" s="90">
        <v>6.539999999999964</v>
      </c>
      <c r="J955" s="90" t="s">
        <v>257</v>
      </c>
      <c r="K955" s="90" t="s">
        <v>451</v>
      </c>
      <c r="L955" t="s">
        <v>257</v>
      </c>
    </row>
    <row r="956" spans="1:13" x14ac:dyDescent="0.25">
      <c r="A956" t="s">
        <v>257</v>
      </c>
      <c r="B956" t="s">
        <v>323</v>
      </c>
      <c r="C956" s="138" t="s">
        <v>77</v>
      </c>
      <c r="D956" t="s">
        <v>78</v>
      </c>
      <c r="E956" t="s">
        <v>359</v>
      </c>
      <c r="F956">
        <v>0</v>
      </c>
      <c r="G956">
        <v>3769</v>
      </c>
      <c r="H956">
        <v>0</v>
      </c>
      <c r="I956" s="90">
        <v>3769</v>
      </c>
      <c r="J956" s="90" t="s">
        <v>257</v>
      </c>
      <c r="K956" s="90" t="s">
        <v>451</v>
      </c>
      <c r="L956" t="s">
        <v>257</v>
      </c>
    </row>
    <row r="957" spans="1:13" x14ac:dyDescent="0.25">
      <c r="A957" t="s">
        <v>257</v>
      </c>
      <c r="B957" t="s">
        <v>323</v>
      </c>
      <c r="C957" s="138" t="s">
        <v>77</v>
      </c>
      <c r="D957" t="s">
        <v>78</v>
      </c>
      <c r="E957" t="s">
        <v>359</v>
      </c>
      <c r="F957">
        <v>0</v>
      </c>
      <c r="G957">
        <v>3769</v>
      </c>
      <c r="H957">
        <v>217.54</v>
      </c>
      <c r="I957" s="90">
        <v>3986.54</v>
      </c>
      <c r="J957" s="90" t="s">
        <v>257</v>
      </c>
      <c r="K957" s="90" t="s">
        <v>451</v>
      </c>
      <c r="L957" t="s">
        <v>257</v>
      </c>
    </row>
    <row r="958" spans="1:13" x14ac:dyDescent="0.25">
      <c r="A958" t="s">
        <v>257</v>
      </c>
      <c r="B958" t="s">
        <v>322</v>
      </c>
      <c r="C958" s="138" t="s">
        <v>75</v>
      </c>
      <c r="D958" t="s">
        <v>76</v>
      </c>
      <c r="E958" t="s">
        <v>359</v>
      </c>
      <c r="F958">
        <v>0</v>
      </c>
      <c r="G958">
        <v>4900</v>
      </c>
      <c r="H958">
        <v>0</v>
      </c>
      <c r="I958" s="90">
        <v>4900</v>
      </c>
      <c r="J958" s="90" t="s">
        <v>257</v>
      </c>
      <c r="K958" s="90" t="s">
        <v>451</v>
      </c>
      <c r="L958" t="s">
        <v>257</v>
      </c>
    </row>
    <row r="959" spans="1:13" x14ac:dyDescent="0.25">
      <c r="A959" t="s">
        <v>257</v>
      </c>
      <c r="B959" t="s">
        <v>322</v>
      </c>
      <c r="C959" s="138" t="s">
        <v>75</v>
      </c>
      <c r="D959" t="s">
        <v>76</v>
      </c>
      <c r="E959" t="s">
        <v>359</v>
      </c>
      <c r="F959">
        <v>0</v>
      </c>
      <c r="G959">
        <v>4900</v>
      </c>
      <c r="H959">
        <v>1268.429999999999</v>
      </c>
      <c r="I959" s="90">
        <v>6168.4299999999985</v>
      </c>
      <c r="J959" s="90" t="s">
        <v>257</v>
      </c>
      <c r="K959" s="90" t="s">
        <v>451</v>
      </c>
      <c r="L959" t="s">
        <v>257</v>
      </c>
    </row>
    <row r="960" spans="1:13" x14ac:dyDescent="0.25">
      <c r="A960" t="s">
        <v>257</v>
      </c>
      <c r="B960" t="s">
        <v>482</v>
      </c>
      <c r="C960" s="138" t="s">
        <v>139</v>
      </c>
      <c r="D960" t="s">
        <v>70</v>
      </c>
      <c r="E960" t="s">
        <v>347</v>
      </c>
      <c r="F960">
        <v>0</v>
      </c>
      <c r="G960">
        <v>2250</v>
      </c>
      <c r="H960">
        <v>1157.119999999999</v>
      </c>
      <c r="I960" s="90">
        <v>3407.119999999999</v>
      </c>
      <c r="J960" s="90" t="s">
        <v>257</v>
      </c>
      <c r="K960" s="90" t="s">
        <v>451</v>
      </c>
      <c r="L960" t="s">
        <v>257</v>
      </c>
    </row>
    <row r="961" spans="1:13" x14ac:dyDescent="0.25">
      <c r="A961" t="s">
        <v>257</v>
      </c>
      <c r="B961" t="s">
        <v>482</v>
      </c>
      <c r="C961" s="138" t="s">
        <v>139</v>
      </c>
      <c r="D961" t="s">
        <v>70</v>
      </c>
      <c r="E961" t="s">
        <v>347</v>
      </c>
      <c r="F961">
        <v>0</v>
      </c>
      <c r="G961">
        <v>2250</v>
      </c>
      <c r="H961">
        <v>1172.079999999999</v>
      </c>
      <c r="I961" s="90">
        <v>3422.079999999999</v>
      </c>
      <c r="J961" s="90" t="s">
        <v>257</v>
      </c>
      <c r="K961" s="90" t="s">
        <v>451</v>
      </c>
      <c r="L961" t="s">
        <v>257</v>
      </c>
    </row>
    <row r="962" spans="1:13" x14ac:dyDescent="0.25">
      <c r="A962" t="s">
        <v>257</v>
      </c>
      <c r="B962" t="s">
        <v>482</v>
      </c>
      <c r="C962" s="138" t="s">
        <v>139</v>
      </c>
      <c r="D962" t="s">
        <v>70</v>
      </c>
      <c r="E962" t="s">
        <v>347</v>
      </c>
      <c r="F962">
        <v>0</v>
      </c>
      <c r="G962">
        <v>2250</v>
      </c>
      <c r="H962">
        <v>1172.079999999999</v>
      </c>
      <c r="I962" s="90">
        <v>3422.079999999999</v>
      </c>
      <c r="J962" s="90" t="s">
        <v>257</v>
      </c>
      <c r="K962" s="90" t="s">
        <v>451</v>
      </c>
      <c r="L962" t="s">
        <v>257</v>
      </c>
    </row>
    <row r="963" spans="1:13" x14ac:dyDescent="0.25">
      <c r="A963" t="s">
        <v>257</v>
      </c>
      <c r="B963" t="s">
        <v>482</v>
      </c>
      <c r="C963" s="138" t="s">
        <v>139</v>
      </c>
      <c r="D963" t="s">
        <v>70</v>
      </c>
      <c r="E963" t="s">
        <v>347</v>
      </c>
      <c r="F963">
        <v>0</v>
      </c>
      <c r="G963">
        <v>2250</v>
      </c>
      <c r="H963">
        <v>930</v>
      </c>
      <c r="I963" s="90">
        <v>3180</v>
      </c>
      <c r="J963" s="90" t="s">
        <v>257</v>
      </c>
      <c r="K963" s="90" t="s">
        <v>451</v>
      </c>
      <c r="L963" t="s">
        <v>113</v>
      </c>
    </row>
    <row r="964" spans="1:13" x14ac:dyDescent="0.25">
      <c r="A964" t="s">
        <v>257</v>
      </c>
      <c r="B964" t="s">
        <v>482</v>
      </c>
      <c r="C964" s="138" t="s">
        <v>139</v>
      </c>
      <c r="D964" t="s">
        <v>70</v>
      </c>
      <c r="E964" t="s">
        <v>347</v>
      </c>
      <c r="F964">
        <v>0</v>
      </c>
      <c r="G964">
        <v>2250</v>
      </c>
      <c r="H964">
        <v>1306.61</v>
      </c>
      <c r="I964" s="90">
        <v>3556.6099999999997</v>
      </c>
      <c r="J964" s="90" t="s">
        <v>257</v>
      </c>
      <c r="K964" s="90" t="s">
        <v>451</v>
      </c>
      <c r="L964" t="s">
        <v>113</v>
      </c>
    </row>
    <row r="965" spans="1:13" x14ac:dyDescent="0.25">
      <c r="A965" t="s">
        <v>257</v>
      </c>
      <c r="B965" t="s">
        <v>285</v>
      </c>
      <c r="C965" s="138" t="s">
        <v>71</v>
      </c>
      <c r="D965" t="s">
        <v>355</v>
      </c>
      <c r="E965" t="s">
        <v>347</v>
      </c>
      <c r="F965">
        <v>0</v>
      </c>
      <c r="G965">
        <v>800</v>
      </c>
      <c r="H965">
        <v>2290.369999999999</v>
      </c>
      <c r="I965" s="90">
        <v>3090.369999999999</v>
      </c>
      <c r="J965" s="90" t="s">
        <v>257</v>
      </c>
      <c r="K965" s="90" t="s">
        <v>451</v>
      </c>
      <c r="L965" t="s">
        <v>257</v>
      </c>
    </row>
    <row r="966" spans="1:13" x14ac:dyDescent="0.25">
      <c r="A966" t="s">
        <v>257</v>
      </c>
      <c r="B966" t="s">
        <v>285</v>
      </c>
      <c r="C966" s="138" t="s">
        <v>71</v>
      </c>
      <c r="D966" t="s">
        <v>72</v>
      </c>
      <c r="E966" t="s">
        <v>347</v>
      </c>
      <c r="F966">
        <v>0</v>
      </c>
      <c r="G966">
        <v>800</v>
      </c>
      <c r="H966">
        <v>2290.369999999999</v>
      </c>
      <c r="I966" s="90">
        <v>3090.369999999999</v>
      </c>
      <c r="J966" s="90" t="s">
        <v>257</v>
      </c>
      <c r="K966" s="90" t="s">
        <v>451</v>
      </c>
      <c r="L966" t="s">
        <v>257</v>
      </c>
    </row>
    <row r="967" spans="1:13" x14ac:dyDescent="0.25">
      <c r="A967" t="s">
        <v>257</v>
      </c>
      <c r="B967" t="s">
        <v>285</v>
      </c>
      <c r="C967" s="138" t="s">
        <v>71</v>
      </c>
      <c r="D967" t="s">
        <v>72</v>
      </c>
      <c r="E967" t="s">
        <v>347</v>
      </c>
      <c r="F967">
        <v>0</v>
      </c>
      <c r="G967">
        <v>800</v>
      </c>
      <c r="H967">
        <v>2290.369999999999</v>
      </c>
      <c r="I967" s="90">
        <v>3090.369999999999</v>
      </c>
      <c r="J967" s="90" t="s">
        <v>257</v>
      </c>
      <c r="K967" s="90" t="s">
        <v>451</v>
      </c>
      <c r="L967" t="s">
        <v>257</v>
      </c>
    </row>
    <row r="968" spans="1:13" x14ac:dyDescent="0.25">
      <c r="A968" t="s">
        <v>257</v>
      </c>
      <c r="B968" t="s">
        <v>287</v>
      </c>
      <c r="C968" s="138" t="s">
        <v>69</v>
      </c>
      <c r="D968" t="s">
        <v>70</v>
      </c>
      <c r="E968" t="s">
        <v>347</v>
      </c>
      <c r="F968">
        <v>0</v>
      </c>
      <c r="G968">
        <v>1200</v>
      </c>
      <c r="H968">
        <v>159.7000000000003</v>
      </c>
      <c r="I968" s="90">
        <v>1359.7000000000003</v>
      </c>
      <c r="J968" s="90" t="s">
        <v>257</v>
      </c>
      <c r="K968" s="90" t="s">
        <v>451</v>
      </c>
      <c r="L968" t="s">
        <v>257</v>
      </c>
    </row>
    <row r="969" spans="1:13" x14ac:dyDescent="0.25">
      <c r="A969" t="s">
        <v>257</v>
      </c>
      <c r="B969" t="s">
        <v>287</v>
      </c>
      <c r="C969" s="138" t="s">
        <v>69</v>
      </c>
      <c r="D969" t="s">
        <v>70</v>
      </c>
      <c r="E969" t="s">
        <v>347</v>
      </c>
      <c r="F969">
        <v>0</v>
      </c>
      <c r="G969">
        <v>1200</v>
      </c>
      <c r="H969">
        <v>159.7000000000003</v>
      </c>
      <c r="I969" s="90">
        <v>1359.7000000000003</v>
      </c>
      <c r="J969" s="90" t="s">
        <v>257</v>
      </c>
      <c r="K969" s="90" t="s">
        <v>451</v>
      </c>
      <c r="L969" t="s">
        <v>257</v>
      </c>
    </row>
    <row r="970" spans="1:13" x14ac:dyDescent="0.25">
      <c r="A970" t="s">
        <v>257</v>
      </c>
      <c r="B970" t="s">
        <v>287</v>
      </c>
      <c r="C970" s="138" t="s">
        <v>69</v>
      </c>
      <c r="D970" t="s">
        <v>70</v>
      </c>
      <c r="E970" t="s">
        <v>347</v>
      </c>
      <c r="F970">
        <v>0</v>
      </c>
      <c r="G970">
        <v>1200</v>
      </c>
      <c r="H970">
        <v>159.7000000000003</v>
      </c>
      <c r="I970" s="90">
        <v>1359.7000000000003</v>
      </c>
      <c r="J970" s="90" t="s">
        <v>257</v>
      </c>
      <c r="K970" s="90" t="s">
        <v>451</v>
      </c>
      <c r="L970" t="s">
        <v>257</v>
      </c>
    </row>
    <row r="971" spans="1:13" x14ac:dyDescent="0.25">
      <c r="A971" t="s">
        <v>257</v>
      </c>
      <c r="B971" t="s">
        <v>321</v>
      </c>
      <c r="C971" s="138" t="s">
        <v>73</v>
      </c>
      <c r="D971" t="s">
        <v>74</v>
      </c>
      <c r="E971" t="s">
        <v>347</v>
      </c>
      <c r="F971">
        <v>0</v>
      </c>
      <c r="G971">
        <v>500</v>
      </c>
      <c r="H971">
        <v>1481.44</v>
      </c>
      <c r="I971" s="90">
        <v>1981.44</v>
      </c>
      <c r="J971" s="90" t="s">
        <v>257</v>
      </c>
      <c r="K971" s="90" t="s">
        <v>451</v>
      </c>
      <c r="L971" t="s">
        <v>257</v>
      </c>
    </row>
    <row r="972" spans="1:13" x14ac:dyDescent="0.25">
      <c r="A972" t="s">
        <v>257</v>
      </c>
      <c r="B972" t="s">
        <v>321</v>
      </c>
      <c r="C972" s="138" t="s">
        <v>73</v>
      </c>
      <c r="D972" t="s">
        <v>74</v>
      </c>
      <c r="E972" t="s">
        <v>347</v>
      </c>
      <c r="F972">
        <v>0</v>
      </c>
      <c r="G972">
        <v>500</v>
      </c>
      <c r="H972">
        <v>1251.87</v>
      </c>
      <c r="I972" s="90">
        <v>1751.87</v>
      </c>
      <c r="J972" s="90" t="s">
        <v>257</v>
      </c>
      <c r="K972" s="90" t="s">
        <v>451</v>
      </c>
      <c r="L972" t="s">
        <v>257</v>
      </c>
    </row>
    <row r="973" spans="1:13" x14ac:dyDescent="0.25">
      <c r="A973" t="s">
        <v>257</v>
      </c>
      <c r="B973" t="s">
        <v>321</v>
      </c>
      <c r="C973" s="138" t="s">
        <v>73</v>
      </c>
      <c r="D973" t="s">
        <v>74</v>
      </c>
      <c r="E973" t="s">
        <v>347</v>
      </c>
      <c r="F973">
        <v>0</v>
      </c>
      <c r="G973">
        <v>500</v>
      </c>
      <c r="H973">
        <v>1481.44</v>
      </c>
      <c r="I973" s="90">
        <v>1981.44</v>
      </c>
      <c r="J973" s="90" t="s">
        <v>257</v>
      </c>
      <c r="K973" s="90" t="s">
        <v>451</v>
      </c>
      <c r="L973" t="s">
        <v>257</v>
      </c>
    </row>
    <row r="974" spans="1:13" x14ac:dyDescent="0.25">
      <c r="A974" t="s">
        <v>257</v>
      </c>
      <c r="B974" t="s">
        <v>282</v>
      </c>
      <c r="C974" s="138" t="s">
        <v>104</v>
      </c>
      <c r="D974" t="s">
        <v>105</v>
      </c>
      <c r="E974" t="s">
        <v>347</v>
      </c>
      <c r="F974">
        <v>0</v>
      </c>
      <c r="G974">
        <v>4387.08</v>
      </c>
      <c r="H974">
        <v>1648.789999999998</v>
      </c>
      <c r="I974" s="90">
        <v>6035.869999999998</v>
      </c>
      <c r="J974" s="90" t="s">
        <v>257</v>
      </c>
      <c r="K974" s="90" t="s">
        <v>451</v>
      </c>
      <c r="L974" t="s">
        <v>257</v>
      </c>
    </row>
    <row r="975" spans="1:13" x14ac:dyDescent="0.25">
      <c r="A975" t="s">
        <v>257</v>
      </c>
      <c r="B975" t="s">
        <v>282</v>
      </c>
      <c r="C975" s="138" t="s">
        <v>104</v>
      </c>
      <c r="D975" t="s">
        <v>105</v>
      </c>
      <c r="E975" t="s">
        <v>347</v>
      </c>
      <c r="F975">
        <v>0</v>
      </c>
      <c r="G975">
        <v>4387.08</v>
      </c>
      <c r="H975">
        <v>1527.849999999999</v>
      </c>
      <c r="I975" s="90">
        <v>5914.9299999999985</v>
      </c>
      <c r="J975" s="90" t="s">
        <v>257</v>
      </c>
      <c r="K975" s="90" t="s">
        <v>451</v>
      </c>
      <c r="L975" t="s">
        <v>257</v>
      </c>
    </row>
    <row r="976" spans="1:13" x14ac:dyDescent="0.25">
      <c r="A976" t="s">
        <v>257</v>
      </c>
      <c r="B976" t="s">
        <v>282</v>
      </c>
      <c r="C976" s="138" t="s">
        <v>104</v>
      </c>
      <c r="D976" t="s">
        <v>105</v>
      </c>
      <c r="E976" t="s">
        <v>347</v>
      </c>
      <c r="F976">
        <v>0</v>
      </c>
      <c r="G976">
        <v>4387.08</v>
      </c>
      <c r="H976">
        <v>1648.789999999998</v>
      </c>
      <c r="I976" s="90">
        <v>6035.869999999998</v>
      </c>
      <c r="J976" s="90" t="s">
        <v>257</v>
      </c>
      <c r="K976" s="90" t="s">
        <v>451</v>
      </c>
      <c r="L976" t="s">
        <v>257</v>
      </c>
    </row>
    <row r="977" spans="1:13" x14ac:dyDescent="0.25">
      <c r="A977" t="s">
        <v>257</v>
      </c>
      <c r="B977" t="s">
        <v>282</v>
      </c>
      <c r="C977" s="138" t="s">
        <v>104</v>
      </c>
      <c r="D977" t="s">
        <v>105</v>
      </c>
      <c r="E977" t="s">
        <v>347</v>
      </c>
      <c r="F977">
        <v>0</v>
      </c>
      <c r="G977">
        <v>4387.08</v>
      </c>
      <c r="H977">
        <v>1648.789999999998</v>
      </c>
      <c r="I977" s="90">
        <v>6035.869999999998</v>
      </c>
      <c r="J977" s="90" t="s">
        <v>257</v>
      </c>
      <c r="K977" s="90" t="s">
        <v>451</v>
      </c>
      <c r="L977" t="s">
        <v>257</v>
      </c>
    </row>
    <row r="978" spans="1:13" x14ac:dyDescent="0.25">
      <c r="A978" t="s">
        <v>257</v>
      </c>
      <c r="B978" t="s">
        <v>282</v>
      </c>
      <c r="C978" s="138" t="s">
        <v>104</v>
      </c>
      <c r="D978" t="s">
        <v>105</v>
      </c>
      <c r="E978" t="s">
        <v>345</v>
      </c>
      <c r="F978">
        <v>0</v>
      </c>
      <c r="G978">
        <v>4387.08</v>
      </c>
      <c r="H978">
        <v>1648.789999999998</v>
      </c>
      <c r="I978" s="90">
        <v>6035.869999999998</v>
      </c>
      <c r="J978" s="90" t="s">
        <v>257</v>
      </c>
      <c r="K978" s="90" t="s">
        <v>451</v>
      </c>
      <c r="L978" t="s">
        <v>106</v>
      </c>
    </row>
    <row r="979" spans="1:13" x14ac:dyDescent="0.25">
      <c r="A979" t="s">
        <v>257</v>
      </c>
      <c r="B979" t="s">
        <v>298</v>
      </c>
      <c r="C979" s="138" t="s">
        <v>120</v>
      </c>
      <c r="D979" t="s">
        <v>65</v>
      </c>
      <c r="E979" t="s">
        <v>347</v>
      </c>
      <c r="F979">
        <v>0</v>
      </c>
      <c r="G979">
        <v>1200</v>
      </c>
      <c r="H979">
        <v>2451.52</v>
      </c>
      <c r="I979" s="90">
        <v>3651.52</v>
      </c>
      <c r="J979" s="90" t="s">
        <v>257</v>
      </c>
      <c r="K979" s="90" t="s">
        <v>451</v>
      </c>
      <c r="L979" t="s">
        <v>257</v>
      </c>
    </row>
    <row r="980" spans="1:13" x14ac:dyDescent="0.25">
      <c r="A980" t="s">
        <v>257</v>
      </c>
      <c r="B980" t="s">
        <v>298</v>
      </c>
      <c r="C980" s="138" t="s">
        <v>120</v>
      </c>
      <c r="D980" t="s">
        <v>65</v>
      </c>
      <c r="E980" t="s">
        <v>347</v>
      </c>
      <c r="F980">
        <v>0</v>
      </c>
      <c r="G980">
        <v>1200</v>
      </c>
      <c r="H980">
        <v>1867.959999999999</v>
      </c>
      <c r="I980" s="90">
        <v>3067.959999999999</v>
      </c>
      <c r="J980" s="90" t="s">
        <v>257</v>
      </c>
      <c r="K980" s="90" t="s">
        <v>451</v>
      </c>
      <c r="L980" t="s">
        <v>257</v>
      </c>
    </row>
    <row r="981" spans="1:13" x14ac:dyDescent="0.25">
      <c r="A981" t="s">
        <v>257</v>
      </c>
      <c r="B981" t="s">
        <v>298</v>
      </c>
      <c r="C981" s="138" t="s">
        <v>120</v>
      </c>
      <c r="D981" t="s">
        <v>65</v>
      </c>
      <c r="E981" t="s">
        <v>347</v>
      </c>
      <c r="F981">
        <v>0</v>
      </c>
      <c r="G981">
        <v>1200</v>
      </c>
      <c r="H981">
        <v>2451.52</v>
      </c>
      <c r="I981" s="90">
        <v>3651.52</v>
      </c>
      <c r="J981" s="90" t="s">
        <v>257</v>
      </c>
      <c r="K981" s="90" t="s">
        <v>451</v>
      </c>
      <c r="L981" t="s">
        <v>257</v>
      </c>
    </row>
    <row r="982" spans="1:13" x14ac:dyDescent="0.25">
      <c r="A982" t="s">
        <v>257</v>
      </c>
      <c r="B982" t="s">
        <v>298</v>
      </c>
      <c r="C982" s="138" t="s">
        <v>120</v>
      </c>
      <c r="D982" t="s">
        <v>65</v>
      </c>
      <c r="E982" t="s">
        <v>347</v>
      </c>
      <c r="F982">
        <v>0</v>
      </c>
      <c r="G982">
        <v>1200</v>
      </c>
      <c r="H982">
        <v>2451.52</v>
      </c>
      <c r="I982" s="90">
        <v>3651.52</v>
      </c>
      <c r="J982" s="90" t="s">
        <v>257</v>
      </c>
      <c r="K982" s="90" t="s">
        <v>451</v>
      </c>
      <c r="L982" t="s">
        <v>257</v>
      </c>
    </row>
    <row r="983" spans="1:13" x14ac:dyDescent="0.25">
      <c r="A983" t="s">
        <v>257</v>
      </c>
      <c r="B983" t="s">
        <v>298</v>
      </c>
      <c r="C983" s="138" t="s">
        <v>120</v>
      </c>
      <c r="D983" t="s">
        <v>65</v>
      </c>
      <c r="E983" t="s">
        <v>347</v>
      </c>
      <c r="F983">
        <v>0</v>
      </c>
      <c r="G983">
        <v>1200</v>
      </c>
      <c r="H983">
        <v>2451.52</v>
      </c>
      <c r="I983" s="90">
        <v>3651.52</v>
      </c>
      <c r="J983" s="90" t="s">
        <v>257</v>
      </c>
      <c r="K983" s="90" t="s">
        <v>451</v>
      </c>
      <c r="L983" t="s">
        <v>107</v>
      </c>
    </row>
    <row r="984" spans="1:13" x14ac:dyDescent="0.25">
      <c r="A984" t="s">
        <v>257</v>
      </c>
      <c r="B984" t="s">
        <v>300</v>
      </c>
      <c r="C984" s="138" t="s">
        <v>58</v>
      </c>
      <c r="D984" t="s">
        <v>59</v>
      </c>
      <c r="E984" t="s">
        <v>347</v>
      </c>
      <c r="F984">
        <v>0</v>
      </c>
      <c r="G984">
        <v>2200</v>
      </c>
      <c r="H984">
        <v>14.2</v>
      </c>
      <c r="I984" s="90">
        <v>2214.2</v>
      </c>
      <c r="J984" s="90" t="s">
        <v>257</v>
      </c>
      <c r="K984" s="90" t="s">
        <v>451</v>
      </c>
      <c r="L984" t="s">
        <v>257</v>
      </c>
    </row>
    <row r="985" spans="1:13" x14ac:dyDescent="0.25">
      <c r="A985" t="s">
        <v>257</v>
      </c>
      <c r="B985" t="s">
        <v>303</v>
      </c>
      <c r="C985" s="138" t="s">
        <v>66</v>
      </c>
      <c r="D985" t="s">
        <v>67</v>
      </c>
      <c r="E985" t="s">
        <v>347</v>
      </c>
      <c r="F985">
        <v>0</v>
      </c>
      <c r="G985">
        <v>750</v>
      </c>
      <c r="H985">
        <v>695.2200000000003</v>
      </c>
      <c r="I985" s="90">
        <v>1445.2200000000003</v>
      </c>
      <c r="J985" s="90" t="s">
        <v>257</v>
      </c>
      <c r="K985" s="90" t="s">
        <v>451</v>
      </c>
      <c r="L985" t="s">
        <v>257</v>
      </c>
    </row>
    <row r="986" spans="1:13" x14ac:dyDescent="0.25">
      <c r="A986" t="s">
        <v>257</v>
      </c>
      <c r="B986" t="s">
        <v>303</v>
      </c>
      <c r="C986" s="138" t="s">
        <v>56</v>
      </c>
      <c r="D986" t="s">
        <v>57</v>
      </c>
      <c r="E986" t="s">
        <v>345</v>
      </c>
      <c r="F986">
        <v>0</v>
      </c>
      <c r="G986">
        <v>6030.41</v>
      </c>
      <c r="H986">
        <v>75</v>
      </c>
      <c r="I986" s="90">
        <v>6105.41</v>
      </c>
      <c r="J986" s="90" t="s">
        <v>257</v>
      </c>
      <c r="K986" s="90" t="s">
        <v>451</v>
      </c>
      <c r="L986" t="s">
        <v>257</v>
      </c>
    </row>
    <row r="987" spans="1:13" x14ac:dyDescent="0.25">
      <c r="A987" t="s">
        <v>257</v>
      </c>
      <c r="B987" t="s">
        <v>303</v>
      </c>
      <c r="C987" s="138" t="s">
        <v>66</v>
      </c>
      <c r="D987" t="s">
        <v>67</v>
      </c>
      <c r="E987" t="s">
        <v>347</v>
      </c>
      <c r="F987">
        <v>0</v>
      </c>
      <c r="G987">
        <v>750</v>
      </c>
      <c r="H987">
        <v>672.0400000000002</v>
      </c>
      <c r="I987" s="90">
        <v>1422.0400000000002</v>
      </c>
      <c r="J987" s="90" t="s">
        <v>257</v>
      </c>
      <c r="K987" s="90" t="s">
        <v>451</v>
      </c>
      <c r="L987" t="s">
        <v>257</v>
      </c>
    </row>
    <row r="988" spans="1:13" x14ac:dyDescent="0.25">
      <c r="A988" t="s">
        <v>257</v>
      </c>
      <c r="B988" t="s">
        <v>303</v>
      </c>
      <c r="C988" s="138" t="s">
        <v>66</v>
      </c>
      <c r="D988" t="s">
        <v>67</v>
      </c>
      <c r="E988" t="s">
        <v>347</v>
      </c>
      <c r="F988">
        <v>0</v>
      </c>
      <c r="G988">
        <v>750</v>
      </c>
      <c r="H988">
        <v>695.2200000000003</v>
      </c>
      <c r="I988" s="90">
        <v>1445.2200000000003</v>
      </c>
      <c r="J988" s="90" t="s">
        <v>257</v>
      </c>
      <c r="K988" s="90" t="s">
        <v>451</v>
      </c>
      <c r="L988" t="s">
        <v>257</v>
      </c>
    </row>
    <row r="989" spans="1:13" x14ac:dyDescent="0.25">
      <c r="A989" t="s">
        <v>257</v>
      </c>
      <c r="B989" t="s">
        <v>299</v>
      </c>
      <c r="C989" s="138" t="s">
        <v>54</v>
      </c>
      <c r="D989" t="s">
        <v>55</v>
      </c>
      <c r="E989" t="s">
        <v>347</v>
      </c>
      <c r="F989">
        <v>0</v>
      </c>
      <c r="G989">
        <v>500</v>
      </c>
      <c r="H989">
        <v>134.46</v>
      </c>
      <c r="I989" s="90">
        <v>634.46</v>
      </c>
      <c r="J989" s="90" t="s">
        <v>257</v>
      </c>
      <c r="K989" s="90" t="s">
        <v>451</v>
      </c>
      <c r="L989" t="s">
        <v>257</v>
      </c>
    </row>
    <row r="990" spans="1:13" x14ac:dyDescent="0.25">
      <c r="A990" t="s">
        <v>257</v>
      </c>
      <c r="B990" t="s">
        <v>291</v>
      </c>
      <c r="C990" s="138" t="s">
        <v>64</v>
      </c>
      <c r="D990" t="s">
        <v>65</v>
      </c>
      <c r="E990" t="s">
        <v>347</v>
      </c>
      <c r="F990">
        <v>0</v>
      </c>
      <c r="G990">
        <v>450</v>
      </c>
      <c r="H990">
        <v>538.1400000000001</v>
      </c>
      <c r="I990" s="90">
        <v>988.1400000000001</v>
      </c>
      <c r="J990" s="90" t="s">
        <v>257</v>
      </c>
      <c r="K990" s="90" t="s">
        <v>451</v>
      </c>
      <c r="L990" t="s">
        <v>257</v>
      </c>
    </row>
    <row r="991" spans="1:13" x14ac:dyDescent="0.25">
      <c r="A991" t="s">
        <v>257</v>
      </c>
      <c r="B991" t="s">
        <v>291</v>
      </c>
      <c r="C991" s="138" t="s">
        <v>52</v>
      </c>
      <c r="D991" t="s">
        <v>53</v>
      </c>
      <c r="E991" t="s">
        <v>351</v>
      </c>
      <c r="F991">
        <v>0</v>
      </c>
      <c r="G991">
        <v>2700</v>
      </c>
      <c r="H991">
        <v>36.31999999999971</v>
      </c>
      <c r="I991" s="90">
        <v>2736.3199999999997</v>
      </c>
      <c r="J991" s="90" t="s">
        <v>257</v>
      </c>
      <c r="K991" s="90" t="s">
        <v>451</v>
      </c>
      <c r="L991" t="s">
        <v>257</v>
      </c>
    </row>
    <row r="992" spans="1:13" x14ac:dyDescent="0.25">
      <c r="A992" t="s">
        <v>257</v>
      </c>
      <c r="B992" t="s">
        <v>291</v>
      </c>
      <c r="C992" s="138" t="s">
        <v>64</v>
      </c>
      <c r="D992" t="s">
        <v>65</v>
      </c>
      <c r="E992" t="s">
        <v>347</v>
      </c>
      <c r="F992">
        <v>0</v>
      </c>
      <c r="G992">
        <v>450</v>
      </c>
      <c r="H992">
        <v>548.1500000000001</v>
      </c>
      <c r="I992" s="90">
        <v>998.1500000000001</v>
      </c>
      <c r="J992" s="90" t="s">
        <v>257</v>
      </c>
      <c r="K992" s="90" t="s">
        <v>451</v>
      </c>
      <c r="L992" t="s">
        <v>257</v>
      </c>
    </row>
    <row r="993" spans="1:13" x14ac:dyDescent="0.25">
      <c r="A993" t="s">
        <v>257</v>
      </c>
      <c r="B993" t="s">
        <v>301</v>
      </c>
      <c r="C993" s="138" t="s">
        <v>50</v>
      </c>
      <c r="D993" t="s">
        <v>51</v>
      </c>
      <c r="E993" t="s">
        <v>350</v>
      </c>
      <c r="F993">
        <v>0</v>
      </c>
      <c r="G993">
        <v>1976.81</v>
      </c>
      <c r="H993">
        <v>16</v>
      </c>
      <c r="I993" s="90">
        <v>1992.81</v>
      </c>
      <c r="J993" s="90" t="s">
        <v>257</v>
      </c>
      <c r="K993" s="90" t="s">
        <v>451</v>
      </c>
      <c r="L993" t="s">
        <v>257</v>
      </c>
    </row>
    <row r="994" spans="1:13" x14ac:dyDescent="0.25">
      <c r="A994" t="s">
        <v>257</v>
      </c>
      <c r="B994" t="s">
        <v>289</v>
      </c>
      <c r="C994" s="138" t="s">
        <v>62</v>
      </c>
      <c r="D994" t="s">
        <v>63</v>
      </c>
      <c r="E994" t="s">
        <v>347</v>
      </c>
      <c r="F994">
        <v>0</v>
      </c>
      <c r="G994">
        <v>2999</v>
      </c>
      <c r="H994">
        <v>2152.84</v>
      </c>
      <c r="I994" s="90">
        <v>5151.84</v>
      </c>
      <c r="J994" s="90" t="s">
        <v>257</v>
      </c>
      <c r="K994" s="90" t="s">
        <v>451</v>
      </c>
      <c r="L994" t="s">
        <v>257</v>
      </c>
    </row>
    <row r="995" spans="1:13" x14ac:dyDescent="0.25">
      <c r="A995" t="s">
        <v>257</v>
      </c>
      <c r="B995" t="s">
        <v>289</v>
      </c>
      <c r="C995" s="138" t="s">
        <v>62</v>
      </c>
      <c r="D995" t="s">
        <v>63</v>
      </c>
      <c r="E995" t="s">
        <v>347</v>
      </c>
      <c r="F995">
        <v>0</v>
      </c>
      <c r="G995">
        <v>2999</v>
      </c>
      <c r="H995">
        <v>2152.84</v>
      </c>
      <c r="I995" s="90">
        <v>5151.84</v>
      </c>
      <c r="J995" s="90" t="s">
        <v>257</v>
      </c>
      <c r="K995" s="90" t="s">
        <v>451</v>
      </c>
      <c r="L995" t="s">
        <v>257</v>
      </c>
    </row>
    <row r="996" spans="1:13" x14ac:dyDescent="0.25">
      <c r="A996" t="s">
        <v>257</v>
      </c>
      <c r="B996" t="s">
        <v>297</v>
      </c>
      <c r="C996" s="138" t="s">
        <v>48</v>
      </c>
      <c r="D996" t="s">
        <v>49</v>
      </c>
      <c r="E996" t="s">
        <v>347</v>
      </c>
      <c r="F996">
        <v>0</v>
      </c>
      <c r="G996">
        <v>1750</v>
      </c>
      <c r="H996">
        <v>410.7400000000002</v>
      </c>
      <c r="I996" s="90">
        <v>2160.7400000000002</v>
      </c>
      <c r="J996" s="90" t="s">
        <v>257</v>
      </c>
      <c r="K996" s="90" t="s">
        <v>451</v>
      </c>
      <c r="L996" t="s">
        <v>257</v>
      </c>
    </row>
    <row r="997" spans="1:13" x14ac:dyDescent="0.25">
      <c r="A997" t="s">
        <v>257</v>
      </c>
      <c r="B997" t="s">
        <v>295</v>
      </c>
      <c r="C997" s="138" t="s">
        <v>46</v>
      </c>
      <c r="D997" t="s">
        <v>47</v>
      </c>
      <c r="E997" t="s">
        <v>347</v>
      </c>
      <c r="F997">
        <v>0</v>
      </c>
      <c r="G997">
        <v>1250</v>
      </c>
      <c r="H997">
        <v>915.4200000000001</v>
      </c>
      <c r="I997" s="90">
        <v>2165.42</v>
      </c>
      <c r="J997" s="90" t="s">
        <v>257</v>
      </c>
      <c r="K997" s="90" t="s">
        <v>451</v>
      </c>
      <c r="L997" t="s">
        <v>257</v>
      </c>
    </row>
    <row r="998" spans="1:13" x14ac:dyDescent="0.25">
      <c r="A998" t="s">
        <v>257</v>
      </c>
      <c r="B998" t="s">
        <v>483</v>
      </c>
      <c r="C998" s="138" t="s">
        <v>161</v>
      </c>
      <c r="D998" t="s">
        <v>162</v>
      </c>
      <c r="E998" t="s">
        <v>347</v>
      </c>
      <c r="F998">
        <v>0</v>
      </c>
      <c r="G998">
        <v>2000</v>
      </c>
      <c r="H998">
        <v>4597.14</v>
      </c>
      <c r="I998" s="90">
        <v>6597.14</v>
      </c>
      <c r="J998" s="90" t="s">
        <v>257</v>
      </c>
      <c r="K998" s="90" t="s">
        <v>451</v>
      </c>
      <c r="L998" t="s">
        <v>257</v>
      </c>
    </row>
    <row r="999" spans="1:13" x14ac:dyDescent="0.25">
      <c r="A999" t="s">
        <v>257</v>
      </c>
      <c r="B999" t="s">
        <v>483</v>
      </c>
      <c r="C999" s="138" t="s">
        <v>161</v>
      </c>
      <c r="D999" t="s">
        <v>162</v>
      </c>
      <c r="E999" t="s">
        <v>347</v>
      </c>
      <c r="F999">
        <v>0</v>
      </c>
      <c r="G999">
        <v>2000</v>
      </c>
      <c r="H999">
        <v>890.5</v>
      </c>
      <c r="I999" s="90">
        <v>2890.5</v>
      </c>
      <c r="J999" s="90" t="s">
        <v>257</v>
      </c>
      <c r="K999" s="90" t="s">
        <v>451</v>
      </c>
      <c r="L999" t="s">
        <v>257</v>
      </c>
    </row>
    <row r="1000" spans="1:13" x14ac:dyDescent="0.25">
      <c r="A1000" t="s">
        <v>257</v>
      </c>
      <c r="B1000" t="s">
        <v>483</v>
      </c>
      <c r="C1000" s="138" t="s">
        <v>161</v>
      </c>
      <c r="D1000" t="s">
        <v>162</v>
      </c>
      <c r="E1000" t="s">
        <v>347</v>
      </c>
      <c r="F1000">
        <v>0</v>
      </c>
      <c r="G1000">
        <v>2000</v>
      </c>
      <c r="H1000">
        <v>4597.14</v>
      </c>
      <c r="I1000" s="90">
        <v>6597.14</v>
      </c>
      <c r="J1000" s="90" t="s">
        <v>257</v>
      </c>
      <c r="K1000" s="90" t="s">
        <v>451</v>
      </c>
      <c r="L1000" t="s">
        <v>257</v>
      </c>
    </row>
    <row r="1001" spans="1:13" x14ac:dyDescent="0.25">
      <c r="A1001" t="s">
        <v>257</v>
      </c>
      <c r="B1001" t="s">
        <v>483</v>
      </c>
      <c r="C1001" s="138" t="s">
        <v>161</v>
      </c>
      <c r="D1001" t="s">
        <v>162</v>
      </c>
      <c r="E1001" t="s">
        <v>347</v>
      </c>
      <c r="F1001">
        <v>0</v>
      </c>
      <c r="G1001">
        <v>2000</v>
      </c>
      <c r="H1001">
        <v>4597.14</v>
      </c>
      <c r="I1001" s="90">
        <v>6597.14</v>
      </c>
      <c r="J1001" s="90" t="s">
        <v>257</v>
      </c>
      <c r="K1001" s="90" t="s">
        <v>451</v>
      </c>
      <c r="L1001" t="s">
        <v>257</v>
      </c>
    </row>
    <row r="1002" spans="1:13" x14ac:dyDescent="0.25">
      <c r="A1002" t="s">
        <v>257</v>
      </c>
      <c r="B1002" t="s">
        <v>483</v>
      </c>
      <c r="C1002" s="138" t="s">
        <v>161</v>
      </c>
      <c r="D1002" t="s">
        <v>162</v>
      </c>
      <c r="E1002" t="s">
        <v>347</v>
      </c>
      <c r="F1002">
        <v>0</v>
      </c>
      <c r="G1002">
        <v>2000</v>
      </c>
      <c r="H1002">
        <v>4737.99</v>
      </c>
      <c r="I1002" s="90">
        <v>6737.99</v>
      </c>
      <c r="J1002" s="90" t="s">
        <v>257</v>
      </c>
      <c r="K1002" s="90" t="s">
        <v>451</v>
      </c>
      <c r="L1002" t="s">
        <v>107</v>
      </c>
    </row>
    <row r="1003" spans="1:13" x14ac:dyDescent="0.25">
      <c r="A1003" t="s">
        <v>257</v>
      </c>
      <c r="B1003" t="s">
        <v>483</v>
      </c>
      <c r="C1003" s="138" t="s">
        <v>161</v>
      </c>
      <c r="D1003" t="s">
        <v>162</v>
      </c>
      <c r="E1003" t="s">
        <v>347</v>
      </c>
      <c r="F1003">
        <v>0</v>
      </c>
      <c r="G1003">
        <v>2000</v>
      </c>
      <c r="H1003">
        <v>4737.99</v>
      </c>
      <c r="I1003" s="90">
        <v>6737.99</v>
      </c>
      <c r="J1003" s="90" t="s">
        <v>257</v>
      </c>
      <c r="K1003" s="90" t="s">
        <v>451</v>
      </c>
      <c r="L1003" t="s">
        <v>107</v>
      </c>
    </row>
    <row r="1004" spans="1:13" x14ac:dyDescent="0.25">
      <c r="A1004" t="s">
        <v>257</v>
      </c>
      <c r="B1004" t="s">
        <v>304</v>
      </c>
      <c r="C1004" s="138" t="s">
        <v>44</v>
      </c>
      <c r="D1004" t="s">
        <v>45</v>
      </c>
      <c r="E1004" t="s">
        <v>345</v>
      </c>
      <c r="F1004">
        <v>0</v>
      </c>
      <c r="G1004">
        <v>955.36</v>
      </c>
      <c r="H1004">
        <v>729.4900000000004</v>
      </c>
      <c r="I1004" s="90">
        <v>1684.8500000000004</v>
      </c>
      <c r="J1004" s="90" t="s">
        <v>257</v>
      </c>
      <c r="K1004" s="90" t="s">
        <v>451</v>
      </c>
      <c r="L1004" t="s">
        <v>257</v>
      </c>
    </row>
    <row r="1005" spans="1:13" x14ac:dyDescent="0.25">
      <c r="A1005" t="s">
        <v>257</v>
      </c>
      <c r="B1005" t="s">
        <v>293</v>
      </c>
      <c r="C1005" s="138" t="s">
        <v>60</v>
      </c>
      <c r="D1005" t="s">
        <v>61</v>
      </c>
      <c r="E1005" t="s">
        <v>345</v>
      </c>
      <c r="F1005">
        <v>0</v>
      </c>
      <c r="G1005">
        <v>2360</v>
      </c>
      <c r="H1005">
        <v>748.6999999999998</v>
      </c>
      <c r="I1005" s="90">
        <v>3108.7</v>
      </c>
      <c r="J1005" s="90" t="s">
        <v>257</v>
      </c>
      <c r="K1005" s="90" t="s">
        <v>451</v>
      </c>
      <c r="L1005" t="s">
        <v>257</v>
      </c>
    </row>
    <row r="1006" spans="1:13" x14ac:dyDescent="0.25">
      <c r="A1006" t="s">
        <v>257</v>
      </c>
      <c r="B1006" t="s">
        <v>372</v>
      </c>
      <c r="C1006" s="138" t="s">
        <v>108</v>
      </c>
      <c r="D1006" t="s">
        <v>109</v>
      </c>
      <c r="E1006" t="s">
        <v>359</v>
      </c>
      <c r="F1006">
        <v>0</v>
      </c>
      <c r="G1006">
        <v>3400</v>
      </c>
      <c r="H1006">
        <v>966.4300000000003</v>
      </c>
      <c r="I1006" s="90">
        <v>4366.43</v>
      </c>
      <c r="J1006" s="90" t="s">
        <v>257</v>
      </c>
      <c r="K1006" s="90" t="s">
        <v>451</v>
      </c>
      <c r="L1006" t="s">
        <v>257</v>
      </c>
    </row>
    <row r="1007" spans="1:13" x14ac:dyDescent="0.25">
      <c r="A1007" t="s">
        <v>257</v>
      </c>
      <c r="B1007" t="s">
        <v>371</v>
      </c>
      <c r="C1007" s="138" t="s">
        <v>116</v>
      </c>
      <c r="D1007" t="s">
        <v>81</v>
      </c>
      <c r="E1007" t="s">
        <v>359</v>
      </c>
      <c r="F1007">
        <v>0</v>
      </c>
      <c r="G1007">
        <v>2100</v>
      </c>
      <c r="H1007">
        <v>1049.04</v>
      </c>
      <c r="I1007" s="90">
        <v>3149.04</v>
      </c>
      <c r="J1007" s="90" t="s">
        <v>257</v>
      </c>
      <c r="K1007" s="90" t="s">
        <v>451</v>
      </c>
      <c r="L1007" t="s">
        <v>257</v>
      </c>
    </row>
    <row r="1008" spans="1:13" x14ac:dyDescent="0.25">
      <c r="A1008" t="s">
        <v>257</v>
      </c>
      <c r="B1008" t="s">
        <v>370</v>
      </c>
      <c r="C1008" s="138" t="s">
        <v>97</v>
      </c>
      <c r="D1008" t="s">
        <v>98</v>
      </c>
      <c r="E1008" t="s">
        <v>359</v>
      </c>
      <c r="F1008">
        <v>0</v>
      </c>
      <c r="G1008">
        <v>725</v>
      </c>
      <c r="H1008">
        <v>185.3100000000001</v>
      </c>
      <c r="I1008" s="90">
        <v>910.3100000000001</v>
      </c>
      <c r="J1008" s="90" t="s">
        <v>257</v>
      </c>
      <c r="K1008" s="90" t="s">
        <v>451</v>
      </c>
      <c r="L1008" t="s">
        <v>257</v>
      </c>
    </row>
    <row r="1009" spans="1:13" x14ac:dyDescent="0.25">
      <c r="A1009" t="s">
        <v>257</v>
      </c>
      <c r="B1009" t="s">
        <v>369</v>
      </c>
      <c r="C1009" s="138" t="s">
        <v>95</v>
      </c>
      <c r="D1009" t="s">
        <v>96</v>
      </c>
      <c r="E1009" t="s">
        <v>365</v>
      </c>
      <c r="F1009">
        <v>0</v>
      </c>
      <c r="G1009">
        <v>325</v>
      </c>
      <c r="H1009">
        <v>726.1599999999999</v>
      </c>
      <c r="I1009" s="90">
        <v>1051.1599999999999</v>
      </c>
      <c r="J1009" s="90" t="s">
        <v>257</v>
      </c>
      <c r="K1009" s="90" t="s">
        <v>451</v>
      </c>
      <c r="L1009" t="s">
        <v>257</v>
      </c>
    </row>
    <row r="1010" spans="1:13" x14ac:dyDescent="0.25">
      <c r="A1010" t="s">
        <v>257</v>
      </c>
      <c r="B1010" t="s">
        <v>214</v>
      </c>
      <c r="C1010" s="138" t="s">
        <v>215</v>
      </c>
      <c r="D1010" t="s">
        <v>216</v>
      </c>
      <c r="E1010" t="s">
        <v>257</v>
      </c>
      <c r="F1010">
        <v>0</v>
      </c>
      <c r="G1010">
        <v>4000</v>
      </c>
      <c r="H1010">
        <v>606.4100000000001</v>
      </c>
      <c r="I1010" s="90">
        <v>4606.41</v>
      </c>
      <c r="J1010" s="90" t="s">
        <v>257</v>
      </c>
      <c r="K1010" s="90" t="s">
        <v>451</v>
      </c>
      <c r="L1010" t="s">
        <v>110</v>
      </c>
    </row>
    <row r="1011" spans="1:13" x14ac:dyDescent="0.25">
      <c r="A1011" t="s">
        <v>257</v>
      </c>
      <c r="B1011" t="s">
        <v>214</v>
      </c>
      <c r="C1011" s="138" t="s">
        <v>215</v>
      </c>
      <c r="D1011" t="s">
        <v>216</v>
      </c>
      <c r="E1011" t="s">
        <v>257</v>
      </c>
      <c r="F1011">
        <v>0</v>
      </c>
      <c r="G1011">
        <v>4000</v>
      </c>
      <c r="H1011">
        <v>606.4100000000001</v>
      </c>
      <c r="I1011" s="90">
        <v>4606.41</v>
      </c>
      <c r="J1011" s="90" t="s">
        <v>257</v>
      </c>
      <c r="K1011" s="90" t="s">
        <v>451</v>
      </c>
      <c r="L1011" t="s">
        <v>110</v>
      </c>
    </row>
    <row r="1012" spans="1:13" x14ac:dyDescent="0.25">
      <c r="A1012" t="s">
        <v>257</v>
      </c>
      <c r="B1012" t="s">
        <v>79</v>
      </c>
      <c r="C1012" s="138" t="s">
        <v>80</v>
      </c>
      <c r="D1012" t="s">
        <v>81</v>
      </c>
      <c r="E1012" t="s">
        <v>351</v>
      </c>
      <c r="F1012">
        <v>0</v>
      </c>
      <c r="G1012">
        <v>1400</v>
      </c>
      <c r="H1012">
        <v>290.46</v>
      </c>
      <c r="I1012" s="90">
        <v>1690.46</v>
      </c>
      <c r="J1012" s="90" t="s">
        <v>257</v>
      </c>
      <c r="K1012" s="90" t="s">
        <v>451</v>
      </c>
      <c r="L1012" t="s">
        <v>257</v>
      </c>
    </row>
    <row r="1013" spans="1:13" x14ac:dyDescent="0.25">
      <c r="A1013" t="s">
        <v>257</v>
      </c>
      <c r="B1013" t="s">
        <v>87</v>
      </c>
      <c r="C1013" s="138" t="s">
        <v>88</v>
      </c>
      <c r="D1013" t="s">
        <v>86</v>
      </c>
      <c r="E1013" t="s">
        <v>359</v>
      </c>
      <c r="F1013">
        <v>0</v>
      </c>
      <c r="G1013">
        <v>3072.8</v>
      </c>
      <c r="H1013">
        <v>32.13000000000028</v>
      </c>
      <c r="I1013" s="90">
        <v>3104.9300000000003</v>
      </c>
      <c r="J1013" s="90" t="s">
        <v>257</v>
      </c>
      <c r="K1013" s="90" t="s">
        <v>451</v>
      </c>
      <c r="L1013" t="s">
        <v>257</v>
      </c>
    </row>
    <row r="1014" spans="1:13" x14ac:dyDescent="0.25">
      <c r="A1014" t="s">
        <v>257</v>
      </c>
      <c r="B1014" t="s">
        <v>366</v>
      </c>
      <c r="C1014" s="138" t="s">
        <v>91</v>
      </c>
      <c r="D1014" t="s">
        <v>92</v>
      </c>
      <c r="E1014" t="s">
        <v>359</v>
      </c>
      <c r="F1014">
        <v>0</v>
      </c>
      <c r="G1014">
        <v>2174.8</v>
      </c>
      <c r="H1014">
        <v>0</v>
      </c>
      <c r="I1014" s="90">
        <v>2174.8</v>
      </c>
      <c r="J1014" s="90" t="s">
        <v>257</v>
      </c>
      <c r="K1014" s="90" t="s">
        <v>451</v>
      </c>
      <c r="L1014" t="s">
        <v>257</v>
      </c>
    </row>
    <row r="1015" spans="1:13" x14ac:dyDescent="0.25">
      <c r="A1015" t="s">
        <v>257</v>
      </c>
      <c r="B1015" t="s">
        <v>367</v>
      </c>
      <c r="C1015" s="138" t="s">
        <v>93</v>
      </c>
      <c r="D1015" t="s">
        <v>94</v>
      </c>
      <c r="E1015" t="s">
        <v>368</v>
      </c>
      <c r="F1015">
        <v>0</v>
      </c>
      <c r="G1015">
        <v>925</v>
      </c>
      <c r="H1015">
        <v>485.4399999999998</v>
      </c>
      <c r="I1015" s="90">
        <v>1410.4399999999998</v>
      </c>
      <c r="J1015" s="90" t="s">
        <v>257</v>
      </c>
      <c r="K1015" s="90" t="s">
        <v>451</v>
      </c>
      <c r="L1015" t="s">
        <v>257</v>
      </c>
    </row>
    <row r="1016" spans="1:13" x14ac:dyDescent="0.25">
      <c r="A1016" t="s">
        <v>257</v>
      </c>
      <c r="B1016" t="s">
        <v>84</v>
      </c>
      <c r="C1016" s="138" t="s">
        <v>85</v>
      </c>
      <c r="D1016" t="s">
        <v>86</v>
      </c>
      <c r="E1016" t="s">
        <v>365</v>
      </c>
      <c r="F1016">
        <v>0</v>
      </c>
      <c r="G1016">
        <v>1190</v>
      </c>
      <c r="H1016">
        <v>529.95</v>
      </c>
      <c r="I1016" s="90">
        <v>1719.95</v>
      </c>
      <c r="J1016" s="90" t="s">
        <v>257</v>
      </c>
      <c r="K1016" s="90" t="s">
        <v>451</v>
      </c>
      <c r="L1016" t="s">
        <v>257</v>
      </c>
    </row>
  </sheetData>
  <conditionalFormatting sqref="K1 M2:M114 M119:M134 M136:M148 L149:M149 M150:M163 K412:K1048576">
    <cfRule type="cellIs" dxfId="33" priority="103" operator="lessThan">
      <formula>0</formula>
    </cfRule>
    <cfRule type="cellIs" priority="104" operator="lessThan">
      <formula>0</formula>
    </cfRule>
    <cfRule type="cellIs" dxfId="34" priority="105" operator="greaterThan">
      <formula>0</formula>
    </cfRule>
  </conditionalFormatting>
  <conditionalFormatting sqref="M116:M117">
    <cfRule type="cellIs" dxfId="35" priority="100" operator="lessThan">
      <formula>0</formula>
    </cfRule>
    <cfRule type="cellIs" priority="101" operator="lessThan">
      <formula>0</formula>
    </cfRule>
    <cfRule type="cellIs" dxfId="36" priority="102" operator="greaterThan">
      <formula>0</formula>
    </cfRule>
  </conditionalFormatting>
  <conditionalFormatting sqref="M166">
    <cfRule type="cellIs" dxfId="37" priority="97" operator="lessThan">
      <formula>0</formula>
    </cfRule>
    <cfRule type="cellIs" priority="98" operator="lessThan">
      <formula>0</formula>
    </cfRule>
    <cfRule type="cellIs" dxfId="38" priority="99" operator="greaterThan">
      <formula>0</formula>
    </cfRule>
  </conditionalFormatting>
  <conditionalFormatting sqref="M170">
    <cfRule type="cellIs" dxfId="39" priority="94" operator="lessThan">
      <formula>0</formula>
    </cfRule>
    <cfRule type="cellIs" priority="95" operator="lessThan">
      <formula>0</formula>
    </cfRule>
    <cfRule type="cellIs" dxfId="40" priority="96" operator="greaterThan">
      <formula>0</formula>
    </cfRule>
  </conditionalFormatting>
  <conditionalFormatting sqref="M173">
    <cfRule type="cellIs" dxfId="41" priority="91" operator="lessThan">
      <formula>0</formula>
    </cfRule>
    <cfRule type="cellIs" priority="92" operator="lessThan">
      <formula>0</formula>
    </cfRule>
    <cfRule type="cellIs" dxfId="42" priority="93" operator="greaterThan">
      <formula>0</formula>
    </cfRule>
  </conditionalFormatting>
  <conditionalFormatting sqref="M176:M181">
    <cfRule type="cellIs" dxfId="43" priority="67" operator="lessThan">
      <formula>0</formula>
    </cfRule>
    <cfRule type="cellIs" priority="68" operator="lessThan">
      <formula>0</formula>
    </cfRule>
    <cfRule type="cellIs" dxfId="44" priority="69" operator="greaterThan">
      <formula>0</formula>
    </cfRule>
  </conditionalFormatting>
  <conditionalFormatting sqref="M186">
    <cfRule type="cellIs" dxfId="45" priority="88" operator="lessThan">
      <formula>0</formula>
    </cfRule>
    <cfRule type="cellIs" priority="89" operator="lessThan">
      <formula>0</formula>
    </cfRule>
    <cfRule type="cellIs" dxfId="46" priority="90" operator="greaterThan">
      <formula>0</formula>
    </cfRule>
  </conditionalFormatting>
  <conditionalFormatting sqref="M192">
    <cfRule type="cellIs" dxfId="47" priority="64" operator="lessThan">
      <formula>0</formula>
    </cfRule>
    <cfRule type="cellIs" priority="65" operator="lessThan">
      <formula>0</formula>
    </cfRule>
    <cfRule type="cellIs" dxfId="48" priority="66" operator="greaterThan">
      <formula>0</formula>
    </cfRule>
  </conditionalFormatting>
  <conditionalFormatting sqref="M195:M196">
    <cfRule type="cellIs" dxfId="49" priority="79" operator="lessThan">
      <formula>0</formula>
    </cfRule>
    <cfRule type="cellIs" priority="80" operator="lessThan">
      <formula>0</formula>
    </cfRule>
    <cfRule type="cellIs" dxfId="50" priority="81" operator="greaterThan">
      <formula>0</formula>
    </cfRule>
  </conditionalFormatting>
  <conditionalFormatting sqref="M200">
    <cfRule type="cellIs" dxfId="51" priority="76" operator="lessThan">
      <formula>0</formula>
    </cfRule>
    <cfRule type="cellIs" priority="77" operator="lessThan">
      <formula>0</formula>
    </cfRule>
    <cfRule type="cellIs" dxfId="52" priority="78" operator="greaterThan">
      <formula>0</formula>
    </cfRule>
  </conditionalFormatting>
  <conditionalFormatting sqref="M216:M218">
    <cfRule type="cellIs" dxfId="53" priority="37" operator="lessThan">
      <formula>0</formula>
    </cfRule>
    <cfRule type="cellIs" priority="38" operator="lessThan">
      <formula>0</formula>
    </cfRule>
    <cfRule type="cellIs" dxfId="54" priority="39" operator="greaterThan">
      <formula>0</formula>
    </cfRule>
  </conditionalFormatting>
  <conditionalFormatting sqref="M221:M222">
    <cfRule type="cellIs" dxfId="55" priority="58" operator="lessThan">
      <formula>0</formula>
    </cfRule>
    <cfRule type="cellIs" priority="59" operator="lessThan">
      <formula>0</formula>
    </cfRule>
    <cfRule type="cellIs" dxfId="56" priority="60" operator="greaterThan">
      <formula>0</formula>
    </cfRule>
  </conditionalFormatting>
  <conditionalFormatting sqref="M225:M226">
    <cfRule type="cellIs" dxfId="57" priority="43" operator="lessThan">
      <formula>0</formula>
    </cfRule>
    <cfRule type="cellIs" priority="44" operator="lessThan">
      <formula>0</formula>
    </cfRule>
    <cfRule type="cellIs" dxfId="58" priority="45" operator="greaterThan">
      <formula>0</formula>
    </cfRule>
  </conditionalFormatting>
  <conditionalFormatting sqref="M229:M230">
    <cfRule type="cellIs" dxfId="59" priority="52" operator="lessThan">
      <formula>0</formula>
    </cfRule>
    <cfRule type="cellIs" priority="53" operator="lessThan">
      <formula>0</formula>
    </cfRule>
    <cfRule type="cellIs" dxfId="60" priority="54" operator="greaterThan">
      <formula>0</formula>
    </cfRule>
  </conditionalFormatting>
  <conditionalFormatting sqref="M235">
    <cfRule type="cellIs" dxfId="61" priority="46" operator="lessThan">
      <formula>0</formula>
    </cfRule>
    <cfRule type="cellIs" priority="47" operator="lessThan">
      <formula>0</formula>
    </cfRule>
    <cfRule type="cellIs" dxfId="62" priority="48" operator="greaterThan">
      <formula>0</formula>
    </cfRule>
  </conditionalFormatting>
  <conditionalFormatting sqref="M237">
    <cfRule type="cellIs" dxfId="63" priority="49" operator="lessThan">
      <formula>0</formula>
    </cfRule>
    <cfRule type="cellIs" priority="50" operator="lessThan">
      <formula>0</formula>
    </cfRule>
    <cfRule type="cellIs" dxfId="64" priority="51" operator="greaterThan">
      <formula>0</formula>
    </cfRule>
  </conditionalFormatting>
  <conditionalFormatting sqref="M239">
    <cfRule type="cellIs" dxfId="65" priority="40" operator="lessThan">
      <formula>0</formula>
    </cfRule>
    <cfRule type="cellIs" priority="41" operator="lessThan">
      <formula>0</formula>
    </cfRule>
    <cfRule type="cellIs" dxfId="66" priority="42" operator="greaterThan">
      <formula>0</formula>
    </cfRule>
  </conditionalFormatting>
  <conditionalFormatting sqref="M242">
    <cfRule type="cellIs" dxfId="67" priority="34" operator="lessThan">
      <formula>0</formula>
    </cfRule>
    <cfRule type="cellIs" priority="35" operator="lessThan">
      <formula>0</formula>
    </cfRule>
    <cfRule type="cellIs" dxfId="68" priority="36" operator="greaterThan">
      <formula>0</formula>
    </cfRule>
  </conditionalFormatting>
  <conditionalFormatting sqref="M256">
    <cfRule type="cellIs" dxfId="69" priority="19" operator="lessThan">
      <formula>0</formula>
    </cfRule>
    <cfRule type="cellIs" priority="20" operator="lessThan">
      <formula>0</formula>
    </cfRule>
    <cfRule type="cellIs" dxfId="70" priority="21" operator="greaterThan">
      <formula>0</formula>
    </cfRule>
  </conditionalFormatting>
  <conditionalFormatting sqref="M261">
    <cfRule type="cellIs" dxfId="71" priority="1" operator="lessThan">
      <formula>0</formula>
    </cfRule>
    <cfRule type="cellIs" priority="2" operator="lessThan">
      <formula>0</formula>
    </cfRule>
    <cfRule type="cellIs" dxfId="72" priority="3" operator="greaterThan">
      <formula>0</formula>
    </cfRule>
  </conditionalFormatting>
  <conditionalFormatting sqref="M264:M265">
    <cfRule type="cellIs" dxfId="73" priority="16" operator="lessThan">
      <formula>0</formula>
    </cfRule>
    <cfRule type="cellIs" priority="17" operator="lessThan">
      <formula>0</formula>
    </cfRule>
    <cfRule type="cellIs" dxfId="74" priority="18" operator="greaterThan">
      <formula>0</formula>
    </cfRule>
  </conditionalFormatting>
  <conditionalFormatting sqref="M269">
    <cfRule type="cellIs" dxfId="75" priority="13" operator="lessThan">
      <formula>0</formula>
    </cfRule>
    <cfRule type="cellIs" priority="14" operator="lessThan">
      <formula>0</formula>
    </cfRule>
    <cfRule type="cellIs" dxfId="76" priority="15" operator="greaterThan">
      <formula>0</formula>
    </cfRule>
  </conditionalFormatting>
  <conditionalFormatting sqref="M275">
    <cfRule type="cellIs" dxfId="77" priority="4" operator="lessThan">
      <formula>0</formula>
    </cfRule>
    <cfRule type="cellIs" priority="5" operator="lessThan">
      <formula>0</formula>
    </cfRule>
    <cfRule type="cellIs" dxfId="78" priority="6" operator="greaterThan">
      <formula>0</formula>
    </cfRule>
  </conditionalFormatting>
  <conditionalFormatting sqref="M277">
    <cfRule type="cellIs" dxfId="79" priority="7" operator="lessThan">
      <formula>0</formula>
    </cfRule>
    <cfRule type="cellIs" priority="8" operator="lessThan">
      <formula>0</formula>
    </cfRule>
    <cfRule type="cellIs" dxfId="80" priority="9" operator="greaterThan">
      <formula>0</formula>
    </cfRule>
  </conditionalFormatting>
  <pageMargins left="0.7" right="0.7" top="0.75" bottom="0.75" header="0.3" footer="0.3"/>
  <pageSetup paperSize="9" orientation="portrait" horizontalDpi="0" verticalDpi="0" scale="100" fitToWidth="1" fitToHeight="1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9"/>
  <sheetViews>
    <sheetView workbookViewId="0" zoomScale="100" zoomScaleNormal="100">
      <selection activeCell="J5" sqref="J5"/>
    </sheetView>
  </sheetViews>
  <sheetFormatPr defaultRowHeight="15" outlineLevelRow="0" outlineLevelCol="0" x14ac:dyDescent="0" defaultColWidth="8.83203125"/>
  <cols>
    <col min="1" max="1" width="12.6640625" customWidth="1"/>
    <col min="2" max="2" width="18.83203125" style="252" customWidth="1"/>
    <col min="3" max="3" width="16.5" customWidth="1"/>
    <col min="4" max="4" width="30.33203125" customWidth="1"/>
    <col min="5" max="5" width="21.5" customWidth="1"/>
    <col min="6" max="6" width="23" customWidth="1"/>
    <col min="7" max="7" width="29.33203125" customWidth="1"/>
    <col min="8" max="8" width="14.5" customWidth="1"/>
    <col min="9" max="9" width="19.33203125" customWidth="1"/>
    <col min="10" max="10" width="21.1640625" customWidth="1"/>
  </cols>
  <sheetData>
    <row r="1" ht="47.25" customHeight="1" spans="1:10" x14ac:dyDescent="0.25">
      <c r="A1" s="253" t="s">
        <v>339</v>
      </c>
      <c r="B1" s="254" t="s">
        <v>484</v>
      </c>
      <c r="C1" s="255" t="s">
        <v>337</v>
      </c>
      <c r="D1" s="256" t="s">
        <v>26</v>
      </c>
      <c r="E1" s="256" t="s">
        <v>485</v>
      </c>
      <c r="F1" s="256" t="s">
        <v>486</v>
      </c>
      <c r="G1" s="256" t="s">
        <v>487</v>
      </c>
      <c r="H1" s="256" t="s">
        <v>488</v>
      </c>
      <c r="I1" s="256" t="s">
        <v>489</v>
      </c>
      <c r="J1" s="256" t="s">
        <v>490</v>
      </c>
    </row>
    <row r="2" ht="47.25" customHeight="1" spans="1:10" x14ac:dyDescent="0.25">
      <c r="A2" s="144" t="s">
        <v>377</v>
      </c>
      <c r="B2" s="122">
        <v>46119</v>
      </c>
      <c r="C2" s="44" t="s">
        <v>491</v>
      </c>
      <c r="D2" s="44" t="s">
        <v>492</v>
      </c>
      <c r="E2" s="44" t="s">
        <v>493</v>
      </c>
      <c r="F2" s="152" t="s">
        <v>494</v>
      </c>
      <c r="G2" s="152" t="s">
        <v>495</v>
      </c>
      <c r="H2" s="152" t="s">
        <v>496</v>
      </c>
      <c r="I2" s="47"/>
      <c r="J2" s="152"/>
    </row>
    <row r="3" ht="47.25" customHeight="1" spans="1:10" x14ac:dyDescent="0.25">
      <c r="A3" s="190" t="s">
        <v>377</v>
      </c>
      <c r="B3" s="122">
        <v>46119</v>
      </c>
      <c r="C3" s="115" t="s">
        <v>497</v>
      </c>
      <c r="D3" s="115" t="s">
        <v>498</v>
      </c>
      <c r="E3" s="115" t="s">
        <v>499</v>
      </c>
      <c r="F3" s="232" t="s">
        <v>500</v>
      </c>
      <c r="G3" s="152" t="s">
        <v>501</v>
      </c>
      <c r="H3" s="152" t="s">
        <v>496</v>
      </c>
      <c r="I3" s="257"/>
      <c r="J3" s="232"/>
    </row>
    <row r="4" ht="47.25" customHeight="1" spans="1:10" x14ac:dyDescent="0.25">
      <c r="A4" s="190" t="s">
        <v>377</v>
      </c>
      <c r="B4" s="122">
        <v>46119</v>
      </c>
      <c r="C4" s="115" t="s">
        <v>502</v>
      </c>
      <c r="D4" s="205" t="s">
        <v>503</v>
      </c>
      <c r="E4" s="115" t="s">
        <v>504</v>
      </c>
      <c r="F4" s="233"/>
      <c r="G4" s="234"/>
      <c r="H4" s="234"/>
      <c r="I4" s="258"/>
      <c r="J4" s="233" t="s">
        <v>505</v>
      </c>
    </row>
    <row r="5" ht="47.25" customHeight="1" spans="1:10" x14ac:dyDescent="0.25">
      <c r="A5" s="190" t="s">
        <v>377</v>
      </c>
      <c r="B5" s="122">
        <v>46116</v>
      </c>
      <c r="C5" s="44" t="s">
        <v>506</v>
      </c>
      <c r="D5" s="44" t="s">
        <v>507</v>
      </c>
      <c r="E5" s="115" t="s">
        <v>499</v>
      </c>
      <c r="F5" s="234" t="s">
        <v>508</v>
      </c>
      <c r="G5" s="152" t="s">
        <v>509</v>
      </c>
      <c r="H5" s="152" t="s">
        <v>496</v>
      </c>
      <c r="I5" s="47"/>
      <c r="J5" s="152"/>
    </row>
    <row r="6" ht="47.25" customHeight="1" spans="1:10" x14ac:dyDescent="0.25">
      <c r="A6" s="144" t="s">
        <v>359</v>
      </c>
      <c r="B6" s="122">
        <v>46119</v>
      </c>
      <c r="C6" s="43" t="s">
        <v>510</v>
      </c>
      <c r="D6" s="43" t="s">
        <v>511</v>
      </c>
      <c r="E6" s="43" t="s">
        <v>512</v>
      </c>
      <c r="F6" s="152" t="s">
        <v>513</v>
      </c>
      <c r="G6" s="259"/>
      <c r="H6" s="152" t="s">
        <v>496</v>
      </c>
      <c r="I6" s="260"/>
      <c r="J6" s="259"/>
    </row>
    <row r="7" ht="47.25" customHeight="1" spans="1:10" x14ac:dyDescent="0.25">
      <c r="A7" s="144"/>
      <c r="B7" s="122"/>
      <c r="C7" s="43" t="s">
        <v>514</v>
      </c>
      <c r="D7" s="43" t="s">
        <v>515</v>
      </c>
      <c r="E7" s="43" t="s">
        <v>516</v>
      </c>
      <c r="F7" s="236" t="s">
        <v>517</v>
      </c>
      <c r="G7" s="152" t="s">
        <v>518</v>
      </c>
      <c r="H7" s="152"/>
      <c r="I7" s="47"/>
      <c r="J7" s="152"/>
    </row>
    <row r="8" ht="47.25" customHeight="1" spans="1:10" x14ac:dyDescent="0.25">
      <c r="A8" s="144"/>
      <c r="B8" s="122"/>
      <c r="C8" s="43"/>
      <c r="D8" s="43"/>
      <c r="E8" s="43"/>
      <c r="F8" s="236"/>
      <c r="G8" s="152" t="s">
        <v>519</v>
      </c>
      <c r="H8" s="152"/>
      <c r="I8" s="47"/>
      <c r="J8" s="152"/>
    </row>
    <row r="9" ht="47.25" customHeight="1" spans="1:10" x14ac:dyDescent="0.25">
      <c r="A9" s="144"/>
      <c r="B9" s="122"/>
      <c r="C9" s="44"/>
      <c r="D9" s="44"/>
      <c r="E9" s="44"/>
      <c r="F9" s="152"/>
      <c r="G9" s="152"/>
      <c r="H9" s="152"/>
      <c r="I9" s="47"/>
      <c r="J9" s="15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  <outlinePr summaryBelow="0" summaryRight="0"/>
  </sheetPr>
  <dimension ref="D1:L14"/>
  <sheetViews>
    <sheetView workbookViewId="0" zoomScale="119" zoomScaleNormal="119">
      <selection activeCell="G10" sqref="G10"/>
    </sheetView>
  </sheetViews>
  <sheetFormatPr defaultRowHeight="15" outlineLevelRow="0" outlineLevelCol="0" x14ac:dyDescent="0" defaultColWidth="14.5"/>
  <cols>
    <col min="1" max="1" width="16.1640625" customWidth="1"/>
    <col min="2" max="2" width="17.83203125" customWidth="1"/>
    <col min="3" max="3" width="16.83203125" customWidth="1"/>
    <col min="4" max="4" width="15.83203125" customWidth="1"/>
    <col min="5" max="5" width="18" customWidth="1"/>
    <col min="6" max="6" width="23.33203125" customWidth="1"/>
    <col min="7" max="7" width="16.33203125" customWidth="1"/>
    <col min="8" max="10" width="10.33203125" customWidth="1"/>
  </cols>
  <sheetData>
    <row r="1" ht="25" customHeight="1" spans="1:7" x14ac:dyDescent="0.25">
      <c r="A1" s="261" t="s">
        <v>520</v>
      </c>
      <c r="B1" s="262" t="s">
        <v>521</v>
      </c>
      <c r="C1" s="262" t="s">
        <v>522</v>
      </c>
      <c r="D1" s="262" t="s">
        <v>523</v>
      </c>
      <c r="E1" s="262" t="s">
        <v>524</v>
      </c>
      <c r="F1" s="262" t="s">
        <v>525</v>
      </c>
      <c r="G1" s="263" t="s">
        <v>526</v>
      </c>
    </row>
    <row r="2" ht="28" customHeight="1" spans="1:8" x14ac:dyDescent="0.25">
      <c r="A2" s="264" t="s">
        <v>113</v>
      </c>
      <c r="B2" s="74">
        <f>24531.81+7000</f>
        <v>31531.81</v>
      </c>
      <c r="C2" s="74">
        <v>0</v>
      </c>
      <c r="D2" s="265">
        <f>(Table19[[#This Row],[Initial Balance]]+Table19[[#This Row],[Total Profit (since Nov-25)]])-Table19[[#This Row],[Capital Returned]]</f>
        <v>42250.04958333333</v>
      </c>
      <c r="E2" s="74">
        <f>SUM('Stock Data'!K262,'Stock Data'!K263,'Stock Data'!K270,'Stock Data'!K271,'Stock Data'!K286)</f>
        <v>33393.274999999994</v>
      </c>
      <c r="F2" s="74">
        <f>SUMIF(Table13[[#All],[MP/Investor Name]],'Sold Stock'!E49,Table13[[#All],[Investor Profit]])</f>
        <v>10718.239583333334</v>
      </c>
      <c r="G2" s="266">
        <f>Table19[[#This Row],[Total Balance]]-Table19[[#This Row],[Purchased]]</f>
        <v>8856.77458333334</v>
      </c>
      <c r="H2" s="267"/>
    </row>
    <row r="3" ht="28" customHeight="1" spans="1:7" x14ac:dyDescent="0.25">
      <c r="A3" s="264" t="s">
        <v>125</v>
      </c>
      <c r="B3" s="224">
        <f>18905.56+5000</f>
        <v>23905.56</v>
      </c>
      <c r="C3" s="74">
        <v>0</v>
      </c>
      <c r="D3" s="265">
        <f>(Table19[[#This Row],[Initial Balance]]+Table19[[#This Row],[Total Profit (since Nov-25)]])-Table19[[#This Row],[Capital Returned]]</f>
        <v>30862.170583333333</v>
      </c>
      <c r="E3" s="74">
        <f>SUM('Stock Data'!K215,'Stock Data'!K220,'Stock Data'!K245,'Stock Data'!K285)</f>
        <v>26829.949999999997</v>
      </c>
      <c r="F3" s="74">
        <f>SUMIF(Table13[[#All],[MP/Investor Name]],'Sold Stock'!E55,Table13[[#All],[Investor Profit]])</f>
        <v>6956.610583333333</v>
      </c>
      <c r="G3" s="266">
        <f>Table19[[#This Row],[Total Balance]]-Table19[[#This Row],[Purchased]]</f>
        <v>4032.2205833333355</v>
      </c>
    </row>
    <row r="4" ht="28" customHeight="1" spans="1:12" x14ac:dyDescent="0.25">
      <c r="A4" s="264" t="s">
        <v>129</v>
      </c>
      <c r="B4" s="74">
        <f>18460.57+18000</f>
        <v>36460.57</v>
      </c>
      <c r="C4" s="74">
        <v>548.41</v>
      </c>
      <c r="D4" s="265">
        <f>(Table19[[#This Row],[Initial Balance]]+Table19[[#This Row],[Total Profit (since Nov-25)]])-Table19[[#This Row],[Capital Returned]]</f>
        <v>47209.494999999995</v>
      </c>
      <c r="E4" s="74">
        <f>SUM('Stock Data'!K268,'Stock Data'!K279,'Stock Data'!K288,'Stock Data'!K289)</f>
        <v>32758.29</v>
      </c>
      <c r="F4" s="74">
        <f>SUMIF(Table13[[#All],[MP/Investor Name]],'Sold Stock'!E57,Table13[[#All],[Investor Profit]])</f>
        <v>11297.335</v>
      </c>
      <c r="G4" s="266">
        <f>Table19[[#This Row],[Total Balance]]-Table19[[#This Row],[Purchased]]</f>
        <v>14451.204999999994</v>
      </c>
      <c r="H4" s="267"/>
      <c r="L4" s="268"/>
    </row>
    <row r="5" ht="28" customHeight="1" spans="1:7" x14ac:dyDescent="0.25">
      <c r="A5" s="264" t="s">
        <v>106</v>
      </c>
      <c r="B5" s="74">
        <v>4346.8</v>
      </c>
      <c r="C5" s="74">
        <v>458.74</v>
      </c>
      <c r="D5" s="265">
        <f>(Table19[[#This Row],[Initial Balance]]+Table19[[#This Row],[Total Profit (since Nov-25)]])-Table19[[#This Row],[Capital Returned]]</f>
        <v>5104.089666666667</v>
      </c>
      <c r="E5" s="74">
        <f>'Stock Data'!K234</f>
        <v>5558.93</v>
      </c>
      <c r="F5" s="74">
        <f>SUMIF(Table13[MP/Investor Name],'Sold Stock'!E47,Table13[Investor Profit])</f>
        <v>1216.0296666666666</v>
      </c>
      <c r="G5" s="266">
        <f>Table19[[#This Row],[Total Balance]]-Table19[[#This Row],[Purchased]]</f>
        <v>-454.84033333333355</v>
      </c>
    </row>
    <row r="6" ht="28" customHeight="1" spans="1:9" x14ac:dyDescent="0.25">
      <c r="A6" s="264" t="s">
        <v>110</v>
      </c>
      <c r="B6" s="224">
        <v>20000</v>
      </c>
      <c r="C6" s="224">
        <v>1326.28</v>
      </c>
      <c r="D6" s="265">
        <f>(Table19[[#This Row],[Initial Balance]]+Table19[[#This Row],[Total Profit (since Nov-25)]])-Table19[[#This Row],[Capital Returned]]</f>
        <v>25507.26466666667</v>
      </c>
      <c r="E6" s="74">
        <f>'Stock Data'!K276</f>
        <v>6701.75</v>
      </c>
      <c r="F6" s="74">
        <f>SUMIF(Table13[MP/Investor Name],'Sold Stock'!E48,Table13[Investor Profit])</f>
        <v>6833.544666666667</v>
      </c>
      <c r="G6" s="266">
        <f>Table19[[#This Row],[Total Balance]]-Table19[[#This Row],[Purchased]]</f>
        <v>18805.51466666667</v>
      </c>
      <c r="I6" s="90"/>
    </row>
    <row r="7" ht="28" customHeight="1" spans="1:7" x14ac:dyDescent="0.25">
      <c r="A7" s="264" t="s">
        <v>392</v>
      </c>
      <c r="B7" s="224">
        <v>15000</v>
      </c>
      <c r="C7" s="224">
        <v>623.23</v>
      </c>
      <c r="D7" s="265">
        <f>(Table19[[#This Row],[Initial Balance]]+Table19[[#This Row],[Total Profit (since Nov-25)]])-Table19[[#This Row],[Capital Returned]]</f>
        <v>15000</v>
      </c>
      <c r="E7" s="224">
        <f>'Stock Data'!K244+'Stock Data'!K250</f>
        <v>12412.79</v>
      </c>
      <c r="F7" s="74">
        <v>623.23</v>
      </c>
      <c r="G7" s="266">
        <f>Table19[[#This Row],[Total Balance]]-Table19[[#This Row],[Purchased]]</f>
        <v>2587.209999999999</v>
      </c>
    </row>
    <row r="8" ht="28" customHeight="1" spans="1:7" x14ac:dyDescent="0.25">
      <c r="A8" s="264" t="s">
        <v>527</v>
      </c>
      <c r="B8" s="224">
        <v>10000</v>
      </c>
      <c r="C8" s="224"/>
      <c r="D8" s="265">
        <f>(Table19[[#This Row],[Initial Balance]]+Table19[[#This Row],[Total Profit (since Nov-25)]])-Table19[[#This Row],[Capital Returned]]</f>
        <v>10000</v>
      </c>
      <c r="E8" s="74"/>
      <c r="F8" s="74"/>
      <c r="G8" s="266">
        <f>Table19[[#This Row],[Total Balance]]-Table19[[#This Row],[Purchased]]</f>
        <v>10000</v>
      </c>
    </row>
    <row r="9" ht="13" customHeight="1" spans="1:7" x14ac:dyDescent="0.25">
      <c r="A9" s="264"/>
      <c r="B9" s="264"/>
      <c r="C9" s="264"/>
      <c r="D9" s="264"/>
      <c r="E9" s="264"/>
      <c r="F9" s="264"/>
      <c r="G9" s="264"/>
    </row>
    <row r="10" ht="29.5" customHeight="1" spans="3:7" x14ac:dyDescent="0.25">
      <c r="C10" s="269" t="s">
        <v>528</v>
      </c>
      <c r="D10" s="270">
        <f>SUM(D2:D8)</f>
        <v>175933.06949999998</v>
      </c>
      <c r="E10" s="271"/>
      <c r="F10" s="269" t="s">
        <v>529</v>
      </c>
      <c r="G10" s="270">
        <f>SUMIF(G2:G9, "&gt;5000")</f>
        <v>52113.49425</v>
      </c>
    </row>
    <row r="11" ht="15" customHeight="1" x14ac:dyDescent="0.25"/>
    <row r="13" ht="15" customHeight="1" spans="4:4" x14ac:dyDescent="0.25">
      <c r="D13" s="123"/>
    </row>
    <row r="14" ht="15" customHeight="1" spans="12:12" x14ac:dyDescent="0.25">
      <c r="L14" s="267"/>
    </row>
  </sheetData>
  <pageMargins left="0.7" right="0.7" top="0.75" bottom="0.75" header="0" footer="0"/>
  <pageSetup paperSize="9" orientation="landscape" horizontalDpi="4294967295" verticalDpi="4294967295" scale="100" fitToWidth="1" fitToHeight="1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"/>
  </sheetPr>
  <dimension ref="A1:H16"/>
  <sheetViews>
    <sheetView workbookViewId="0" zoomScale="111" zoomScaleNormal="175">
      <selection activeCell="E7" sqref="E7"/>
    </sheetView>
  </sheetViews>
  <sheetFormatPr defaultRowHeight="15" outlineLevelRow="0" outlineLevelCol="0" x14ac:dyDescent="0" defaultColWidth="8.83203125"/>
  <cols>
    <col min="1" max="2" width="17.5" customWidth="1"/>
    <col min="3" max="3" width="22.83203125" customWidth="1"/>
    <col min="4" max="5" width="17.5" customWidth="1"/>
    <col min="6" max="6" width="17.5" style="90" customWidth="1"/>
    <col min="7" max="7" width="17.5" customWidth="1"/>
    <col min="8" max="8" width="55.83203125" customWidth="1"/>
  </cols>
  <sheetData>
    <row r="1" ht="25.5" customHeight="1" spans="1:8" x14ac:dyDescent="0.25">
      <c r="A1" s="37" t="s">
        <v>0</v>
      </c>
      <c r="B1" s="37" t="s">
        <v>24</v>
      </c>
      <c r="C1" s="38" t="s">
        <v>25</v>
      </c>
      <c r="D1" s="37" t="s">
        <v>26</v>
      </c>
      <c r="E1" s="37" t="s">
        <v>530</v>
      </c>
      <c r="F1" s="37" t="s">
        <v>28</v>
      </c>
      <c r="G1" s="37" t="s">
        <v>531</v>
      </c>
      <c r="H1" s="272" t="s">
        <v>532</v>
      </c>
    </row>
    <row r="2" ht="25.5" customHeight="1" spans="1:8" x14ac:dyDescent="0.25">
      <c r="A2" s="76">
        <v>45962</v>
      </c>
      <c r="B2" s="122"/>
      <c r="C2" s="122" t="s">
        <v>103</v>
      </c>
      <c r="D2" s="77" t="s">
        <v>533</v>
      </c>
      <c r="E2" s="77" t="s">
        <v>534</v>
      </c>
      <c r="F2" s="45">
        <f>15+17.95+40+8+52.45</f>
        <v>133.4</v>
      </c>
      <c r="G2" s="273">
        <v>4000</v>
      </c>
      <c r="H2" s="174" t="s">
        <v>535</v>
      </c>
    </row>
    <row r="3" ht="25.5" customHeight="1" spans="1:8" x14ac:dyDescent="0.25">
      <c r="A3" s="76">
        <v>45962</v>
      </c>
      <c r="B3" s="122"/>
      <c r="C3" s="44" t="s">
        <v>536</v>
      </c>
      <c r="D3" s="77" t="s">
        <v>537</v>
      </c>
      <c r="E3" s="77" t="s">
        <v>538</v>
      </c>
      <c r="F3" s="45">
        <v>143.72</v>
      </c>
      <c r="G3" s="273">
        <v>1900</v>
      </c>
      <c r="H3" s="274" t="s">
        <v>539</v>
      </c>
    </row>
    <row r="4" ht="25.5" customHeight="1" spans="1:8" x14ac:dyDescent="0.25">
      <c r="A4" s="76">
        <v>45992</v>
      </c>
      <c r="B4" s="122"/>
      <c r="C4" s="44" t="s">
        <v>540</v>
      </c>
      <c r="D4" s="77" t="s">
        <v>541</v>
      </c>
      <c r="E4" s="77" t="s">
        <v>542</v>
      </c>
      <c r="F4" s="45">
        <f>8.55+8+6.49+69.95+25+195</f>
        <v>312.99</v>
      </c>
      <c r="G4" s="95">
        <v>8190</v>
      </c>
      <c r="H4" s="174" t="s">
        <v>543</v>
      </c>
    </row>
    <row r="5" ht="25.5" customHeight="1" spans="1:8" x14ac:dyDescent="0.25">
      <c r="A5" s="78"/>
      <c r="B5" s="122"/>
      <c r="C5" s="44"/>
      <c r="D5" s="77"/>
      <c r="E5" s="77"/>
      <c r="F5" s="45"/>
      <c r="G5" s="95"/>
      <c r="H5" s="174"/>
    </row>
    <row r="6" ht="25.5" customHeight="1" spans="1:8" x14ac:dyDescent="0.25">
      <c r="A6" s="78"/>
      <c r="B6" s="122"/>
      <c r="C6" s="44"/>
      <c r="D6" s="44"/>
      <c r="E6" s="44"/>
      <c r="F6" s="101">
        <v>40</v>
      </c>
      <c r="G6" s="101"/>
      <c r="H6" s="44" t="s">
        <v>544</v>
      </c>
    </row>
    <row r="7" ht="25.5" customHeight="1" spans="1:8" x14ac:dyDescent="0.25">
      <c r="A7" s="78"/>
      <c r="B7" s="122"/>
      <c r="C7" s="44"/>
      <c r="D7" s="77"/>
      <c r="E7" s="77"/>
      <c r="F7" s="45">
        <v>100</v>
      </c>
      <c r="G7" s="95"/>
      <c r="H7" s="174" t="s">
        <v>545</v>
      </c>
    </row>
    <row r="8" ht="25.5" customHeight="1" spans="1:8" x14ac:dyDescent="0.25">
      <c r="A8" s="78"/>
      <c r="B8" s="122"/>
      <c r="C8" s="44"/>
      <c r="D8" s="77"/>
      <c r="E8" s="77"/>
      <c r="F8" s="45"/>
      <c r="G8" s="95"/>
      <c r="H8" s="174"/>
    </row>
    <row r="9" ht="25.5" customHeight="1" spans="1:8" x14ac:dyDescent="0.25">
      <c r="A9" s="78"/>
      <c r="B9" s="122"/>
      <c r="C9" s="44"/>
      <c r="D9" s="77"/>
      <c r="E9" s="77"/>
      <c r="F9" s="45"/>
      <c r="G9" s="95"/>
      <c r="H9" s="174"/>
    </row>
    <row r="10" ht="25.5" customHeight="1" spans="1:8" x14ac:dyDescent="0.25">
      <c r="A10" s="78"/>
      <c r="B10" s="122"/>
      <c r="C10" s="44"/>
      <c r="D10" s="77"/>
      <c r="E10" s="77"/>
      <c r="F10" s="45"/>
      <c r="G10" s="95"/>
      <c r="H10" s="174"/>
    </row>
    <row r="11" ht="25.5" customHeight="1" spans="1:8" x14ac:dyDescent="0.25">
      <c r="A11" s="78"/>
      <c r="B11" s="122"/>
      <c r="C11" s="44"/>
      <c r="D11" s="77"/>
      <c r="E11" s="77"/>
      <c r="F11" s="45"/>
      <c r="G11" s="95"/>
      <c r="H11" s="274"/>
    </row>
    <row r="12" ht="25.5" customHeight="1" spans="1:8" x14ac:dyDescent="0.25">
      <c r="A12" s="78"/>
      <c r="B12" s="122"/>
      <c r="C12" s="44"/>
      <c r="D12" s="77"/>
      <c r="E12" s="77"/>
      <c r="F12" s="45"/>
      <c r="G12" s="95"/>
      <c r="H12" s="174"/>
    </row>
    <row r="13" ht="25.5" customHeight="1" spans="1:8" x14ac:dyDescent="0.25">
      <c r="A13" s="78"/>
      <c r="B13" s="122"/>
      <c r="C13" s="44"/>
      <c r="D13" s="77"/>
      <c r="E13" s="77"/>
      <c r="F13" s="45"/>
      <c r="G13" s="95"/>
      <c r="H13" s="174"/>
    </row>
    <row r="14" ht="25.5" customHeight="1" spans="1:8" x14ac:dyDescent="0.25">
      <c r="A14" s="78"/>
      <c r="B14" s="122"/>
      <c r="C14" s="44"/>
      <c r="D14" s="77"/>
      <c r="E14" s="77"/>
      <c r="F14" s="45"/>
      <c r="G14" s="95"/>
      <c r="H14" s="174"/>
    </row>
    <row r="15" ht="25.5" customHeight="1" spans="1:8" x14ac:dyDescent="0.25">
      <c r="A15" s="78"/>
      <c r="B15" s="122"/>
      <c r="C15" s="44"/>
      <c r="D15" s="77"/>
      <c r="E15" s="77"/>
      <c r="F15" s="45"/>
      <c r="G15" s="95"/>
      <c r="H15" s="174"/>
    </row>
    <row r="16" ht="25.5" customHeight="1" spans="1:8" x14ac:dyDescent="0.25">
      <c r="A16" s="201"/>
      <c r="B16" s="275"/>
      <c r="C16" s="115"/>
      <c r="D16" s="191"/>
      <c r="E16" s="191"/>
      <c r="F16" s="128"/>
      <c r="G16" s="128"/>
      <c r="H16" s="174"/>
    </row>
  </sheetData>
  <autoFilter ref="H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57"/>
  <sheetViews>
    <sheetView workbookViewId="0" zoomScale="92" zoomScaleNormal="86">
      <selection activeCell="E42" sqref="E42"/>
    </sheetView>
  </sheetViews>
  <sheetFormatPr defaultRowHeight="15" outlineLevelRow="0" outlineLevelCol="0" x14ac:dyDescent="0" defaultColWidth="10.83203125"/>
  <cols>
    <col min="2" max="2" width="17" customWidth="1"/>
    <col min="3" max="3" width="19.6640625" customWidth="1"/>
    <col min="4" max="4" width="20" style="123" customWidth="1"/>
    <col min="5" max="5" width="43.83203125" customWidth="1"/>
  </cols>
  <sheetData>
    <row r="1" ht="33" customHeight="1" spans="1:5" x14ac:dyDescent="0.25">
      <c r="A1" s="276" t="s">
        <v>0</v>
      </c>
      <c r="B1" s="277" t="s">
        <v>546</v>
      </c>
      <c r="C1" s="277" t="s">
        <v>547</v>
      </c>
      <c r="D1" s="277" t="s">
        <v>548</v>
      </c>
      <c r="E1" s="277" t="s">
        <v>549</v>
      </c>
    </row>
    <row r="2" ht="25" customHeight="1" spans="1:5" x14ac:dyDescent="0.25">
      <c r="A2" s="278">
        <v>46023</v>
      </c>
      <c r="B2" s="279">
        <v>46037</v>
      </c>
      <c r="C2" s="280" t="s">
        <v>550</v>
      </c>
      <c r="D2" s="281">
        <v>80</v>
      </c>
      <c r="E2" s="282" t="s">
        <v>551</v>
      </c>
    </row>
    <row r="3" ht="25" customHeight="1" spans="1:5" x14ac:dyDescent="0.25">
      <c r="A3" s="283">
        <v>46023</v>
      </c>
      <c r="B3" s="284">
        <v>46040</v>
      </c>
      <c r="C3" s="285" t="s">
        <v>552</v>
      </c>
      <c r="D3" s="286">
        <v>100</v>
      </c>
      <c r="E3" s="286" t="s">
        <v>553</v>
      </c>
    </row>
    <row r="4" ht="25" customHeight="1" spans="1:5" x14ac:dyDescent="0.25">
      <c r="A4" s="283">
        <v>46023</v>
      </c>
      <c r="B4" s="284">
        <v>46050</v>
      </c>
      <c r="C4" s="285" t="s">
        <v>552</v>
      </c>
      <c r="D4" s="286">
        <v>100</v>
      </c>
      <c r="E4" s="287" t="s">
        <v>554</v>
      </c>
    </row>
    <row r="5" ht="25" customHeight="1" spans="1:5" x14ac:dyDescent="0.25">
      <c r="A5" s="283">
        <v>46023</v>
      </c>
      <c r="B5" s="284">
        <v>46051</v>
      </c>
      <c r="C5" s="285" t="s">
        <v>555</v>
      </c>
      <c r="D5" s="286">
        <v>90</v>
      </c>
      <c r="E5" s="287" t="s">
        <v>556</v>
      </c>
    </row>
    <row r="6" ht="25" customHeight="1" spans="1:5" x14ac:dyDescent="0.25">
      <c r="A6" s="283">
        <v>46023</v>
      </c>
      <c r="B6" s="284"/>
      <c r="C6" s="285"/>
      <c r="D6" s="286"/>
      <c r="E6" s="287"/>
    </row>
    <row r="7" ht="25" customHeight="1" spans="1:5" x14ac:dyDescent="0.25">
      <c r="A7" s="283">
        <v>46023</v>
      </c>
      <c r="B7" s="287"/>
      <c r="C7" s="287"/>
      <c r="D7" s="286"/>
      <c r="E7" s="287"/>
    </row>
    <row r="8" ht="25" customHeight="1" spans="1:5" x14ac:dyDescent="0.25">
      <c r="A8" s="283">
        <v>46023</v>
      </c>
      <c r="B8" s="287"/>
      <c r="C8" s="288" t="s">
        <v>557</v>
      </c>
      <c r="D8" s="289">
        <f>SUM(D2:D6)</f>
        <v>370</v>
      </c>
      <c r="E8" s="287"/>
    </row>
    <row r="9" ht="25" customHeight="1" spans="1:5" x14ac:dyDescent="0.25">
      <c r="A9" s="290">
        <v>46023</v>
      </c>
      <c r="B9" s="291"/>
      <c r="C9" s="291"/>
      <c r="D9" s="291"/>
      <c r="E9" s="291"/>
    </row>
    <row r="10" ht="25" customHeight="1" spans="1:5" x14ac:dyDescent="0.25">
      <c r="A10" s="283">
        <v>46054</v>
      </c>
      <c r="B10" s="284"/>
      <c r="C10" s="287" t="s">
        <v>558</v>
      </c>
      <c r="D10" s="287">
        <v>80</v>
      </c>
      <c r="E10" s="287" t="s">
        <v>191</v>
      </c>
    </row>
    <row r="11" ht="25" customHeight="1" spans="1:5" x14ac:dyDescent="0.25">
      <c r="A11" s="283">
        <v>46054</v>
      </c>
      <c r="B11" s="284"/>
      <c r="C11" s="287" t="s">
        <v>559</v>
      </c>
      <c r="D11" s="287">
        <v>56.48</v>
      </c>
      <c r="E11" s="287" t="s">
        <v>191</v>
      </c>
    </row>
    <row r="12" ht="25" customHeight="1" spans="1:5" x14ac:dyDescent="0.25">
      <c r="A12" s="283">
        <v>46054</v>
      </c>
      <c r="B12" s="284"/>
      <c r="C12" s="287" t="s">
        <v>560</v>
      </c>
      <c r="D12" s="287">
        <v>28.93</v>
      </c>
      <c r="E12" s="287" t="s">
        <v>191</v>
      </c>
    </row>
    <row r="13" ht="25" customHeight="1" spans="1:5" x14ac:dyDescent="0.25">
      <c r="A13" s="283">
        <v>46054</v>
      </c>
      <c r="B13" s="284"/>
      <c r="C13" s="287" t="s">
        <v>560</v>
      </c>
      <c r="D13" s="287">
        <v>5.93</v>
      </c>
      <c r="E13" s="287" t="s">
        <v>189</v>
      </c>
    </row>
    <row r="14" ht="25" customHeight="1" spans="1:5" x14ac:dyDescent="0.25">
      <c r="A14" s="283">
        <v>46054</v>
      </c>
      <c r="B14" s="284"/>
      <c r="C14" s="287" t="s">
        <v>561</v>
      </c>
      <c r="D14" s="287">
        <f>3.8+12.5</f>
        <v>16.3</v>
      </c>
      <c r="E14" s="287" t="s">
        <v>562</v>
      </c>
    </row>
    <row r="15" ht="25" customHeight="1" spans="1:5" x14ac:dyDescent="0.25">
      <c r="A15" s="283">
        <v>46054</v>
      </c>
      <c r="B15" s="284"/>
      <c r="C15" s="287" t="s">
        <v>559</v>
      </c>
      <c r="D15" s="287">
        <v>113.27</v>
      </c>
      <c r="E15" s="287" t="s">
        <v>562</v>
      </c>
    </row>
    <row r="16" ht="25" customHeight="1" spans="1:5" x14ac:dyDescent="0.25">
      <c r="A16" s="283">
        <v>46054</v>
      </c>
      <c r="B16" s="284"/>
      <c r="C16" s="287" t="s">
        <v>560</v>
      </c>
      <c r="D16" s="287">
        <v>48.95</v>
      </c>
      <c r="E16" s="287" t="s">
        <v>563</v>
      </c>
    </row>
    <row r="17" ht="25" customHeight="1" spans="1:5" x14ac:dyDescent="0.25">
      <c r="A17" s="283">
        <v>46054</v>
      </c>
      <c r="B17" s="284"/>
      <c r="C17" s="287" t="s">
        <v>558</v>
      </c>
      <c r="D17" s="287">
        <v>120</v>
      </c>
      <c r="E17" s="287" t="s">
        <v>563</v>
      </c>
    </row>
    <row r="18" ht="25" customHeight="1" spans="1:5" x14ac:dyDescent="0.25">
      <c r="A18" s="283">
        <v>46054</v>
      </c>
      <c r="B18" s="284">
        <v>46062</v>
      </c>
      <c r="C18" s="285" t="s">
        <v>552</v>
      </c>
      <c r="D18" s="287">
        <v>75</v>
      </c>
      <c r="E18" s="287" t="s">
        <v>564</v>
      </c>
    </row>
    <row r="19" ht="25" customHeight="1" spans="1:5" x14ac:dyDescent="0.25">
      <c r="A19" s="283">
        <v>46054</v>
      </c>
      <c r="B19" s="284"/>
      <c r="C19" s="287" t="s">
        <v>558</v>
      </c>
      <c r="D19" s="287">
        <v>90</v>
      </c>
      <c r="E19" s="287" t="s">
        <v>565</v>
      </c>
    </row>
    <row r="20" ht="25" customHeight="1" spans="1:5" x14ac:dyDescent="0.25">
      <c r="A20" s="283">
        <v>46054</v>
      </c>
      <c r="B20" s="284"/>
      <c r="C20" s="287" t="s">
        <v>558</v>
      </c>
      <c r="D20" s="287">
        <v>90</v>
      </c>
      <c r="E20" s="287" t="s">
        <v>566</v>
      </c>
    </row>
    <row r="21" ht="25" customHeight="1" spans="1:5" x14ac:dyDescent="0.25">
      <c r="A21" s="283">
        <v>46054</v>
      </c>
      <c r="B21" s="284"/>
      <c r="C21" s="287" t="s">
        <v>558</v>
      </c>
      <c r="D21" s="287">
        <v>45</v>
      </c>
      <c r="E21" s="292" t="s">
        <v>567</v>
      </c>
    </row>
    <row r="22" ht="25" customHeight="1" spans="1:5" x14ac:dyDescent="0.25">
      <c r="A22" s="283">
        <v>46054</v>
      </c>
      <c r="B22" s="284"/>
      <c r="C22" s="287" t="s">
        <v>568</v>
      </c>
      <c r="D22" s="287">
        <v>67.99</v>
      </c>
      <c r="E22" s="287" t="s">
        <v>405</v>
      </c>
    </row>
    <row r="23" ht="25" customHeight="1" spans="1:5" x14ac:dyDescent="0.25">
      <c r="A23" s="283">
        <v>46054</v>
      </c>
      <c r="B23" s="284"/>
      <c r="C23" s="287"/>
      <c r="D23" s="287"/>
      <c r="E23" s="287"/>
    </row>
    <row r="24" ht="25" customHeight="1" spans="1:5" x14ac:dyDescent="0.25">
      <c r="A24" s="283">
        <v>46054</v>
      </c>
      <c r="B24" s="284"/>
      <c r="C24" s="287"/>
      <c r="D24" s="287"/>
      <c r="E24" s="287"/>
    </row>
    <row r="25" ht="25" customHeight="1" spans="1:5" x14ac:dyDescent="0.25">
      <c r="A25" s="283">
        <v>46054</v>
      </c>
      <c r="B25" s="287"/>
      <c r="C25" s="288" t="s">
        <v>557</v>
      </c>
      <c r="D25" s="289">
        <f>SUM(D10:D24)</f>
        <v>837.85</v>
      </c>
      <c r="E25" s="287"/>
    </row>
    <row r="26" ht="25" customHeight="1" spans="1:5" x14ac:dyDescent="0.25">
      <c r="A26" s="290">
        <v>46054</v>
      </c>
      <c r="B26" s="293"/>
      <c r="C26" s="291"/>
      <c r="D26" s="291"/>
      <c r="E26" s="291"/>
    </row>
    <row r="27" ht="25" customHeight="1" spans="1:5" x14ac:dyDescent="0.25">
      <c r="A27" s="283">
        <v>46082</v>
      </c>
      <c r="B27" s="284"/>
      <c r="C27" s="287" t="s">
        <v>569</v>
      </c>
      <c r="D27" s="287">
        <f>54.95+18.5</f>
        <v>73.45</v>
      </c>
      <c r="E27" s="287" t="s">
        <v>405</v>
      </c>
    </row>
    <row r="28" ht="25" customHeight="1" spans="1:5" x14ac:dyDescent="0.25">
      <c r="A28" s="283">
        <v>46082</v>
      </c>
      <c r="B28" s="284"/>
      <c r="C28" s="287" t="s">
        <v>552</v>
      </c>
      <c r="D28" s="287">
        <v>35</v>
      </c>
      <c r="E28" s="46" t="s">
        <v>398</v>
      </c>
    </row>
    <row r="29" ht="25" customHeight="1" spans="1:5" x14ac:dyDescent="0.25">
      <c r="A29" s="283">
        <v>46082</v>
      </c>
      <c r="B29" s="284"/>
      <c r="C29" s="287" t="s">
        <v>570</v>
      </c>
      <c r="D29" s="287">
        <v>90</v>
      </c>
      <c r="E29" s="287" t="s">
        <v>409</v>
      </c>
    </row>
    <row r="30" ht="25" customHeight="1" spans="1:5" x14ac:dyDescent="0.25">
      <c r="A30" s="283">
        <v>46082</v>
      </c>
      <c r="B30" s="284"/>
      <c r="C30" s="287" t="s">
        <v>568</v>
      </c>
      <c r="D30" s="287">
        <v>117.98</v>
      </c>
      <c r="E30" s="287" t="s">
        <v>571</v>
      </c>
    </row>
    <row r="31" ht="25" customHeight="1" spans="1:5" x14ac:dyDescent="0.25">
      <c r="A31" s="283">
        <v>46082</v>
      </c>
      <c r="B31" s="284"/>
      <c r="C31" s="287" t="s">
        <v>572</v>
      </c>
      <c r="D31" s="287">
        <v>22.5</v>
      </c>
      <c r="E31" s="287" t="s">
        <v>571</v>
      </c>
    </row>
    <row r="32" ht="25" customHeight="1" spans="1:5" x14ac:dyDescent="0.25">
      <c r="A32" s="283">
        <v>46082</v>
      </c>
      <c r="B32" s="284"/>
      <c r="C32" s="287" t="s">
        <v>560</v>
      </c>
      <c r="D32" s="287">
        <v>38.93</v>
      </c>
      <c r="E32" s="287" t="s">
        <v>571</v>
      </c>
    </row>
    <row r="33" ht="25" customHeight="1" spans="1:5" x14ac:dyDescent="0.25">
      <c r="A33" s="283">
        <v>46082</v>
      </c>
      <c r="B33" s="284"/>
      <c r="C33" s="287" t="s">
        <v>573</v>
      </c>
      <c r="D33" s="287">
        <v>15.37</v>
      </c>
      <c r="E33" s="287" t="s">
        <v>571</v>
      </c>
    </row>
    <row r="34" ht="25" customHeight="1" spans="1:5" x14ac:dyDescent="0.25">
      <c r="A34" s="283">
        <v>46082</v>
      </c>
      <c r="B34" s="284"/>
      <c r="C34" s="287" t="s">
        <v>570</v>
      </c>
      <c r="D34" s="287">
        <v>120</v>
      </c>
      <c r="E34" s="287" t="s">
        <v>571</v>
      </c>
    </row>
    <row r="35" ht="25" customHeight="1" spans="1:5" x14ac:dyDescent="0.25">
      <c r="A35" s="283">
        <v>46082</v>
      </c>
      <c r="B35" s="284"/>
      <c r="C35" s="287" t="s">
        <v>392</v>
      </c>
      <c r="D35" s="287">
        <v>80</v>
      </c>
      <c r="E35" s="287" t="s">
        <v>412</v>
      </c>
    </row>
    <row r="36" ht="25" customHeight="1" spans="1:5" x14ac:dyDescent="0.25">
      <c r="A36" s="283">
        <v>46082</v>
      </c>
      <c r="B36" s="284"/>
      <c r="C36" s="287" t="s">
        <v>392</v>
      </c>
      <c r="D36" s="287">
        <v>80</v>
      </c>
      <c r="E36" s="287" t="s">
        <v>247</v>
      </c>
    </row>
    <row r="37" ht="25" customHeight="1" spans="1:5" x14ac:dyDescent="0.25">
      <c r="A37" s="283">
        <v>46082</v>
      </c>
      <c r="B37" s="284"/>
      <c r="C37" s="287"/>
      <c r="D37" s="287"/>
      <c r="E37" s="287"/>
    </row>
    <row r="38" ht="25" customHeight="1" spans="1:5" x14ac:dyDescent="0.25">
      <c r="A38" s="283">
        <v>46082</v>
      </c>
      <c r="B38" s="284"/>
      <c r="C38" s="288" t="s">
        <v>557</v>
      </c>
      <c r="D38" s="289">
        <f>SUM(D27:D37)</f>
        <v>673.23</v>
      </c>
      <c r="E38" s="287"/>
    </row>
    <row r="39" ht="25" customHeight="1" spans="1:5" x14ac:dyDescent="0.25">
      <c r="A39" s="290">
        <v>46082</v>
      </c>
      <c r="B39" s="293"/>
      <c r="C39" s="291"/>
      <c r="D39" s="291"/>
      <c r="E39" s="291"/>
    </row>
    <row r="40" ht="26" customHeight="1" spans="1:5" x14ac:dyDescent="0.25">
      <c r="A40" s="283">
        <v>46113</v>
      </c>
      <c r="B40" s="284"/>
      <c r="C40" s="287"/>
      <c r="D40" s="287">
        <v>20</v>
      </c>
      <c r="E40" s="287" t="s">
        <v>410</v>
      </c>
    </row>
    <row r="41" ht="26" customHeight="1" spans="1:5" x14ac:dyDescent="0.25">
      <c r="A41" s="283">
        <v>46082</v>
      </c>
      <c r="B41" s="284"/>
      <c r="C41" s="287"/>
      <c r="D41" s="287">
        <v>38.6</v>
      </c>
      <c r="E41" s="287" t="s">
        <v>574</v>
      </c>
    </row>
    <row r="42" ht="26" customHeight="1" spans="1:5" x14ac:dyDescent="0.25">
      <c r="A42" s="283">
        <v>46113</v>
      </c>
      <c r="B42" s="284"/>
      <c r="C42" s="287"/>
      <c r="D42" s="287"/>
      <c r="E42" s="287"/>
    </row>
    <row r="43" ht="26" customHeight="1" spans="1:5" x14ac:dyDescent="0.25">
      <c r="A43" s="283">
        <v>46113</v>
      </c>
      <c r="B43" s="284"/>
      <c r="C43" s="287"/>
      <c r="D43" s="287"/>
      <c r="E43" s="287"/>
    </row>
    <row r="44" ht="26" customHeight="1" spans="1:5" x14ac:dyDescent="0.25">
      <c r="A44" s="283">
        <v>46113</v>
      </c>
      <c r="B44" s="284"/>
      <c r="C44" s="287"/>
      <c r="D44" s="287"/>
      <c r="E44" s="287"/>
    </row>
    <row r="45" ht="26" customHeight="1" spans="1:5" x14ac:dyDescent="0.25">
      <c r="A45" s="283">
        <v>46113</v>
      </c>
      <c r="B45" s="284"/>
      <c r="C45" s="287"/>
      <c r="D45" s="287"/>
      <c r="E45" s="287"/>
    </row>
    <row r="46" ht="26" customHeight="1" spans="1:5" x14ac:dyDescent="0.25">
      <c r="A46" s="283">
        <v>46113</v>
      </c>
      <c r="B46" s="284"/>
      <c r="C46" s="287"/>
      <c r="D46" s="287"/>
      <c r="E46" s="287"/>
    </row>
    <row r="47" ht="26" customHeight="1" spans="1:5" x14ac:dyDescent="0.25">
      <c r="A47" s="283">
        <v>46113</v>
      </c>
      <c r="B47" s="284"/>
      <c r="C47" s="287"/>
      <c r="D47" s="287"/>
      <c r="E47" s="287"/>
    </row>
    <row r="48" ht="26" customHeight="1" spans="1:5" x14ac:dyDescent="0.25">
      <c r="A48" s="283">
        <v>46113</v>
      </c>
      <c r="B48" s="284"/>
      <c r="C48" s="287"/>
      <c r="D48" s="287"/>
      <c r="E48" s="287"/>
    </row>
    <row r="49" ht="26" customHeight="1" spans="1:5" x14ac:dyDescent="0.25">
      <c r="A49" s="283">
        <v>46113</v>
      </c>
      <c r="B49" s="284"/>
      <c r="C49" s="287"/>
      <c r="D49" s="287"/>
      <c r="E49" s="287"/>
    </row>
    <row r="50" ht="26" customHeight="1" spans="1:5" x14ac:dyDescent="0.25">
      <c r="A50" s="283">
        <v>46113</v>
      </c>
      <c r="B50" s="284"/>
      <c r="C50" s="287"/>
      <c r="D50" s="287"/>
      <c r="E50" s="287"/>
    </row>
    <row r="51" ht="26" customHeight="1" spans="1:5" x14ac:dyDescent="0.25">
      <c r="A51" s="283">
        <v>46113</v>
      </c>
      <c r="B51" s="284"/>
      <c r="C51" s="287"/>
      <c r="D51" s="287"/>
      <c r="E51" s="287"/>
    </row>
    <row r="52" ht="26" customHeight="1" spans="1:5" x14ac:dyDescent="0.25">
      <c r="A52" s="283">
        <v>46113</v>
      </c>
      <c r="B52" s="284"/>
      <c r="C52" s="287"/>
      <c r="D52" s="287"/>
      <c r="E52" s="287"/>
    </row>
    <row r="53" ht="26" customHeight="1" spans="1:5" x14ac:dyDescent="0.25">
      <c r="A53" s="283">
        <v>46113</v>
      </c>
      <c r="B53" s="284"/>
      <c r="C53" s="287"/>
      <c r="D53" s="287"/>
      <c r="E53" s="287"/>
    </row>
    <row r="54" ht="26" customHeight="1" spans="1:5" x14ac:dyDescent="0.25">
      <c r="A54" s="283">
        <v>46113</v>
      </c>
      <c r="B54" s="284"/>
      <c r="C54" s="287"/>
      <c r="D54" s="287"/>
      <c r="E54" s="287"/>
    </row>
    <row r="55" ht="26" customHeight="1" spans="1:5" x14ac:dyDescent="0.25">
      <c r="A55" s="283">
        <v>46113</v>
      </c>
      <c r="B55" s="284"/>
      <c r="C55" s="287"/>
      <c r="D55" s="287"/>
      <c r="E55" s="287"/>
    </row>
    <row r="56" ht="26" customHeight="1" spans="1:5" x14ac:dyDescent="0.25">
      <c r="A56" s="283">
        <v>46113</v>
      </c>
      <c r="B56" s="284"/>
      <c r="C56" s="288" t="s">
        <v>557</v>
      </c>
      <c r="D56" s="289">
        <f>SUM(D40:D55)</f>
        <v>58.6</v>
      </c>
      <c r="E56" s="287"/>
    </row>
    <row r="57" ht="26" customHeight="1" spans="1:5" x14ac:dyDescent="0.25">
      <c r="A57" s="290">
        <v>46113</v>
      </c>
      <c r="B57" s="293"/>
      <c r="C57" s="291"/>
      <c r="D57" s="291"/>
      <c r="E57" s="291"/>
    </row>
  </sheetData>
  <autoFilter ref="A1:E57"/>
  <pageMargins left="0.7" right="0.7" top="0.75" bottom="0.75" header="0.3" footer="0.3"/>
  <pageSetup paperSize="9" orientation="portrait" horizontalDpi="0" verticalDpi="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384"/>
  <sheetViews>
    <sheetView workbookViewId="0" zoomScale="89" zoomScaleNormal="85">
      <selection activeCell="H275" sqref="H275"/>
    </sheetView>
  </sheetViews>
  <sheetFormatPr defaultRowHeight="15" outlineLevelRow="0" outlineLevelCol="0" x14ac:dyDescent="0" defaultColWidth="8.83203125"/>
  <cols>
    <col min="1" max="1" width="19.1640625" customWidth="1"/>
    <col min="2" max="2" width="18" style="294" customWidth="1"/>
    <col min="3" max="3" width="17.5" customWidth="1"/>
    <col min="4" max="4" width="15.5" customWidth="1"/>
    <col min="5" max="5" width="15.83203125" customWidth="1"/>
    <col min="6" max="6" width="17.5" hidden="1" customWidth="1"/>
    <col min="7" max="7" width="13.1640625" hidden="1" customWidth="1"/>
    <col min="8" max="8" width="44.5" customWidth="1"/>
    <col min="14" max="14" width="8.83203125" customWidth="1"/>
  </cols>
  <sheetData>
    <row r="1" ht="26.25" customHeight="1" spans="1:8" x14ac:dyDescent="0.25">
      <c r="A1" s="295" t="s">
        <v>0</v>
      </c>
      <c r="B1" s="296" t="s">
        <v>546</v>
      </c>
      <c r="C1" s="297" t="s">
        <v>575</v>
      </c>
      <c r="D1" s="297" t="s">
        <v>576</v>
      </c>
      <c r="E1" s="297" t="s">
        <v>577</v>
      </c>
      <c r="F1" s="297" t="s">
        <v>578</v>
      </c>
      <c r="G1" s="297" t="s">
        <v>579</v>
      </c>
      <c r="H1" s="298" t="s">
        <v>13</v>
      </c>
    </row>
    <row r="2" ht="26.25" customHeight="1" spans="1:8" x14ac:dyDescent="0.25">
      <c r="A2" s="76">
        <v>45809</v>
      </c>
      <c r="B2" s="299">
        <v>45822</v>
      </c>
      <c r="C2" s="300" t="s">
        <v>580</v>
      </c>
      <c r="D2" s="301" t="s">
        <v>581</v>
      </c>
      <c r="E2" s="302">
        <v>4.95</v>
      </c>
      <c r="F2" s="301" t="s">
        <v>582</v>
      </c>
      <c r="G2" s="301" t="s">
        <v>583</v>
      </c>
      <c r="H2" s="301" t="s">
        <v>584</v>
      </c>
    </row>
    <row r="3" ht="26.25" customHeight="1" spans="1:8" x14ac:dyDescent="0.25">
      <c r="A3" s="76">
        <v>45809</v>
      </c>
      <c r="B3" s="299"/>
      <c r="C3" s="303" t="s">
        <v>585</v>
      </c>
      <c r="D3" s="301"/>
      <c r="E3" s="302">
        <v>49.99</v>
      </c>
      <c r="F3" s="301" t="s">
        <v>582</v>
      </c>
      <c r="G3" s="301" t="s">
        <v>586</v>
      </c>
      <c r="H3" s="301" t="s">
        <v>587</v>
      </c>
    </row>
    <row r="4" ht="26.25" customHeight="1" spans="1:8" x14ac:dyDescent="0.25">
      <c r="A4" s="76">
        <v>45809</v>
      </c>
      <c r="B4" s="299"/>
      <c r="C4" s="300" t="s">
        <v>580</v>
      </c>
      <c r="D4" s="301" t="s">
        <v>588</v>
      </c>
      <c r="E4" s="302">
        <v>19.99</v>
      </c>
      <c r="F4" s="301" t="s">
        <v>582</v>
      </c>
      <c r="G4" s="301" t="s">
        <v>583</v>
      </c>
      <c r="H4" s="301" t="s">
        <v>589</v>
      </c>
    </row>
    <row r="5" ht="26.25" customHeight="1" spans="1:8" x14ac:dyDescent="0.25">
      <c r="A5" s="76">
        <v>45809</v>
      </c>
      <c r="B5" s="299">
        <v>45819</v>
      </c>
      <c r="C5" s="300" t="s">
        <v>580</v>
      </c>
      <c r="D5" s="301" t="s">
        <v>590</v>
      </c>
      <c r="E5" s="302">
        <v>12.78</v>
      </c>
      <c r="F5" s="301" t="s">
        <v>582</v>
      </c>
      <c r="G5" s="301" t="s">
        <v>583</v>
      </c>
      <c r="H5" s="301" t="s">
        <v>591</v>
      </c>
    </row>
    <row r="6" ht="26.25" customHeight="1" spans="1:8" x14ac:dyDescent="0.25">
      <c r="A6" s="76">
        <v>45809</v>
      </c>
      <c r="B6" s="299">
        <v>45822</v>
      </c>
      <c r="C6" s="303" t="s">
        <v>585</v>
      </c>
      <c r="D6" s="301"/>
      <c r="E6" s="302">
        <v>32.4</v>
      </c>
      <c r="F6" s="301" t="s">
        <v>582</v>
      </c>
      <c r="G6" s="301" t="s">
        <v>583</v>
      </c>
      <c r="H6" s="301" t="s">
        <v>592</v>
      </c>
    </row>
    <row r="7" ht="26.25" customHeight="1" spans="1:8" x14ac:dyDescent="0.25">
      <c r="A7" s="76">
        <v>45809</v>
      </c>
      <c r="B7" s="299">
        <v>45825</v>
      </c>
      <c r="C7" s="300" t="s">
        <v>580</v>
      </c>
      <c r="D7" s="301" t="s">
        <v>581</v>
      </c>
      <c r="E7" s="302">
        <v>4.95</v>
      </c>
      <c r="F7" s="301" t="s">
        <v>582</v>
      </c>
      <c r="G7" s="301" t="s">
        <v>583</v>
      </c>
      <c r="H7" s="301" t="s">
        <v>66</v>
      </c>
    </row>
    <row r="8" ht="26.25" customHeight="1" spans="1:8" x14ac:dyDescent="0.25">
      <c r="A8" s="76">
        <v>45809</v>
      </c>
      <c r="B8" s="299">
        <v>45834</v>
      </c>
      <c r="C8" s="300" t="s">
        <v>580</v>
      </c>
      <c r="D8" s="301" t="s">
        <v>581</v>
      </c>
      <c r="E8" s="302">
        <v>4.95</v>
      </c>
      <c r="F8" s="301" t="s">
        <v>582</v>
      </c>
      <c r="G8" s="301" t="s">
        <v>583</v>
      </c>
      <c r="H8" s="301" t="s">
        <v>593</v>
      </c>
    </row>
    <row r="9" ht="26.25" customHeight="1" spans="1:8" x14ac:dyDescent="0.25">
      <c r="A9" s="76">
        <v>45809</v>
      </c>
      <c r="B9" s="299">
        <v>45835</v>
      </c>
      <c r="C9" s="300" t="s">
        <v>580</v>
      </c>
      <c r="D9" s="301" t="s">
        <v>581</v>
      </c>
      <c r="E9" s="302">
        <v>4.95</v>
      </c>
      <c r="F9" s="301" t="s">
        <v>582</v>
      </c>
      <c r="G9" s="301" t="s">
        <v>583</v>
      </c>
      <c r="H9" s="301" t="s">
        <v>594</v>
      </c>
    </row>
    <row r="10" ht="26.25" customHeight="1" spans="1:8" x14ac:dyDescent="0.25">
      <c r="A10" s="76">
        <v>45809</v>
      </c>
      <c r="B10" s="299">
        <v>45835</v>
      </c>
      <c r="C10" s="300" t="s">
        <v>580</v>
      </c>
      <c r="D10" s="301" t="s">
        <v>581</v>
      </c>
      <c r="E10" s="302">
        <v>4.95</v>
      </c>
      <c r="F10" s="301" t="s">
        <v>582</v>
      </c>
      <c r="G10" s="301" t="s">
        <v>583</v>
      </c>
      <c r="H10" s="301" t="s">
        <v>595</v>
      </c>
    </row>
    <row r="11" ht="23.5" customHeight="1" spans="1:8" x14ac:dyDescent="0.25">
      <c r="A11" s="76">
        <v>45809</v>
      </c>
      <c r="B11" s="304"/>
      <c r="C11" s="305"/>
      <c r="D11" s="305"/>
      <c r="E11" s="306"/>
      <c r="F11" s="305"/>
      <c r="G11" s="305"/>
      <c r="H11" s="307"/>
    </row>
    <row r="12" ht="28" customHeight="1" spans="1:8" x14ac:dyDescent="0.25">
      <c r="A12" s="76">
        <v>45809</v>
      </c>
      <c r="B12" s="304"/>
      <c r="C12" s="305"/>
      <c r="D12" s="308" t="s">
        <v>596</v>
      </c>
      <c r="E12" s="309">
        <f>SUM(E2:E10)</f>
        <v>139.91</v>
      </c>
      <c r="F12" s="305"/>
      <c r="G12" s="305"/>
      <c r="H12" s="307"/>
    </row>
    <row r="13" ht="26.25" customHeight="1" spans="1:8" x14ac:dyDescent="0.25">
      <c r="A13" s="310"/>
      <c r="B13" s="311"/>
      <c r="C13" s="312"/>
      <c r="D13" s="312"/>
      <c r="E13" s="313"/>
      <c r="F13" s="312"/>
      <c r="G13" s="312"/>
      <c r="H13" s="314"/>
    </row>
    <row r="14" ht="26.25" customHeight="1" spans="1:8" x14ac:dyDescent="0.25">
      <c r="A14" s="42">
        <v>45839</v>
      </c>
      <c r="B14" s="299">
        <v>45856</v>
      </c>
      <c r="C14" s="301"/>
      <c r="D14" s="301" t="s">
        <v>597</v>
      </c>
      <c r="E14" s="302">
        <v>130</v>
      </c>
      <c r="F14" s="301" t="s">
        <v>598</v>
      </c>
      <c r="G14" s="301" t="s">
        <v>599</v>
      </c>
      <c r="H14" s="315" t="s">
        <v>600</v>
      </c>
    </row>
    <row r="15" ht="26.25" customHeight="1" spans="1:8" x14ac:dyDescent="0.25">
      <c r="A15" s="42">
        <v>45839</v>
      </c>
      <c r="B15" s="299">
        <v>45859</v>
      </c>
      <c r="C15" s="300" t="s">
        <v>580</v>
      </c>
      <c r="D15" s="301" t="s">
        <v>601</v>
      </c>
      <c r="E15" s="302">
        <v>4.95</v>
      </c>
      <c r="F15" s="301" t="s">
        <v>582</v>
      </c>
      <c r="G15" s="301" t="s">
        <v>599</v>
      </c>
      <c r="H15" s="315" t="s">
        <v>602</v>
      </c>
    </row>
    <row r="16" ht="26.25" customHeight="1" spans="1:8" x14ac:dyDescent="0.25">
      <c r="A16" s="42">
        <v>45839</v>
      </c>
      <c r="B16" s="299">
        <v>45861</v>
      </c>
      <c r="C16" s="300" t="s">
        <v>580</v>
      </c>
      <c r="D16" s="301" t="s">
        <v>581</v>
      </c>
      <c r="E16" s="302">
        <v>4.95</v>
      </c>
      <c r="F16" s="301" t="s">
        <v>582</v>
      </c>
      <c r="G16" s="301" t="s">
        <v>583</v>
      </c>
      <c r="H16" s="301" t="s">
        <v>73</v>
      </c>
    </row>
    <row r="17" ht="26.25" customHeight="1" spans="1:8" x14ac:dyDescent="0.25">
      <c r="A17" s="42">
        <v>45839</v>
      </c>
      <c r="B17" s="299"/>
      <c r="C17" s="301"/>
      <c r="D17" s="301" t="s">
        <v>603</v>
      </c>
      <c r="E17" s="302"/>
      <c r="F17" s="301" t="s">
        <v>582</v>
      </c>
      <c r="G17" s="301" t="s">
        <v>583</v>
      </c>
      <c r="H17" s="315" t="s">
        <v>604</v>
      </c>
    </row>
    <row r="18" ht="26.25" customHeight="1" spans="1:8" x14ac:dyDescent="0.25">
      <c r="A18" s="42">
        <v>45839</v>
      </c>
      <c r="B18" s="299">
        <v>45865</v>
      </c>
      <c r="C18" s="301"/>
      <c r="D18" s="301" t="s">
        <v>605</v>
      </c>
      <c r="E18" s="302">
        <v>160</v>
      </c>
      <c r="F18" s="301" t="s">
        <v>582</v>
      </c>
      <c r="G18" s="301" t="s">
        <v>583</v>
      </c>
      <c r="H18" s="301" t="s">
        <v>606</v>
      </c>
    </row>
    <row r="19" ht="26.25" customHeight="1" spans="1:8" x14ac:dyDescent="0.25">
      <c r="A19" s="42">
        <v>45839</v>
      </c>
      <c r="B19" s="299">
        <v>45865</v>
      </c>
      <c r="C19" s="301"/>
      <c r="D19" s="301" t="s">
        <v>607</v>
      </c>
      <c r="E19" s="302">
        <v>18.8</v>
      </c>
      <c r="F19" s="301" t="s">
        <v>582</v>
      </c>
      <c r="G19" s="301" t="s">
        <v>583</v>
      </c>
      <c r="H19" s="301" t="s">
        <v>608</v>
      </c>
    </row>
    <row r="20" ht="26.25" customHeight="1" spans="1:8" x14ac:dyDescent="0.25">
      <c r="A20" s="42">
        <v>45839</v>
      </c>
      <c r="B20" s="299"/>
      <c r="C20" s="300" t="s">
        <v>580</v>
      </c>
      <c r="D20" s="301" t="s">
        <v>609</v>
      </c>
      <c r="E20" s="302">
        <v>1.75</v>
      </c>
      <c r="F20" s="301" t="s">
        <v>582</v>
      </c>
      <c r="G20" s="301" t="s">
        <v>583</v>
      </c>
      <c r="H20" s="301" t="s">
        <v>561</v>
      </c>
    </row>
    <row r="21" ht="26.25" customHeight="1" spans="1:8" x14ac:dyDescent="0.25">
      <c r="A21" s="42">
        <v>45839</v>
      </c>
      <c r="B21" s="299">
        <v>45868</v>
      </c>
      <c r="C21" s="301"/>
      <c r="D21" s="301" t="s">
        <v>610</v>
      </c>
      <c r="E21" s="302">
        <v>1.49</v>
      </c>
      <c r="F21" s="301" t="s">
        <v>582</v>
      </c>
      <c r="G21" s="301" t="s">
        <v>583</v>
      </c>
      <c r="H21" s="301" t="s">
        <v>611</v>
      </c>
    </row>
    <row r="22" ht="26.25" customHeight="1" spans="1:8" x14ac:dyDescent="0.25">
      <c r="A22" s="42">
        <v>45839</v>
      </c>
      <c r="B22" s="299">
        <v>45868</v>
      </c>
      <c r="C22" s="301"/>
      <c r="D22" s="301" t="s">
        <v>610</v>
      </c>
      <c r="E22" s="302">
        <v>3.98</v>
      </c>
      <c r="F22" s="301" t="s">
        <v>582</v>
      </c>
      <c r="G22" s="301" t="s">
        <v>583</v>
      </c>
      <c r="H22" s="301" t="s">
        <v>612</v>
      </c>
    </row>
    <row r="23" ht="26.25" customHeight="1" spans="1:8" x14ac:dyDescent="0.25">
      <c r="A23" s="42">
        <v>45839</v>
      </c>
      <c r="B23" s="299">
        <v>45868</v>
      </c>
      <c r="C23" s="300" t="s">
        <v>580</v>
      </c>
      <c r="D23" s="301" t="s">
        <v>609</v>
      </c>
      <c r="E23" s="302">
        <v>25.99</v>
      </c>
      <c r="F23" s="301" t="s">
        <v>582</v>
      </c>
      <c r="G23" s="301" t="s">
        <v>583</v>
      </c>
      <c r="H23" s="301" t="s">
        <v>560</v>
      </c>
    </row>
    <row r="24" ht="26.25" customHeight="1" spans="1:8" x14ac:dyDescent="0.25">
      <c r="A24" s="42">
        <v>45839</v>
      </c>
      <c r="B24" s="299">
        <v>45868</v>
      </c>
      <c r="C24" s="301"/>
      <c r="D24" s="301" t="s">
        <v>613</v>
      </c>
      <c r="E24" s="302">
        <v>1.65</v>
      </c>
      <c r="F24" s="301" t="s">
        <v>582</v>
      </c>
      <c r="G24" s="301" t="s">
        <v>583</v>
      </c>
      <c r="H24" s="301" t="s">
        <v>614</v>
      </c>
    </row>
    <row r="25" ht="26.25" customHeight="1" spans="1:8" x14ac:dyDescent="0.25">
      <c r="A25" s="42">
        <v>45839</v>
      </c>
      <c r="B25" s="299">
        <v>45868</v>
      </c>
      <c r="C25" s="300" t="s">
        <v>580</v>
      </c>
      <c r="D25" s="301" t="s">
        <v>609</v>
      </c>
      <c r="E25" s="302">
        <v>3.1</v>
      </c>
      <c r="F25" s="301" t="s">
        <v>582</v>
      </c>
      <c r="G25" s="301" t="s">
        <v>583</v>
      </c>
      <c r="H25" s="301" t="s">
        <v>561</v>
      </c>
    </row>
    <row r="26" ht="26.25" customHeight="1" spans="1:8" x14ac:dyDescent="0.25">
      <c r="A26" s="42">
        <v>45839</v>
      </c>
      <c r="B26" s="299">
        <v>45869</v>
      </c>
      <c r="C26" s="300" t="s">
        <v>580</v>
      </c>
      <c r="D26" s="301" t="s">
        <v>609</v>
      </c>
      <c r="E26" s="302">
        <v>24.6</v>
      </c>
      <c r="F26" s="301" t="s">
        <v>582</v>
      </c>
      <c r="G26" s="301" t="s">
        <v>583</v>
      </c>
      <c r="H26" s="301" t="s">
        <v>561</v>
      </c>
    </row>
    <row r="27" ht="26.25" customHeight="1" spans="1:8" x14ac:dyDescent="0.25">
      <c r="A27" s="42">
        <v>45839</v>
      </c>
      <c r="B27" s="299">
        <v>45869</v>
      </c>
      <c r="C27" s="300" t="s">
        <v>580</v>
      </c>
      <c r="D27" s="301" t="s">
        <v>581</v>
      </c>
      <c r="E27" s="302">
        <v>4.95</v>
      </c>
      <c r="F27" s="301" t="s">
        <v>582</v>
      </c>
      <c r="G27" s="301" t="s">
        <v>583</v>
      </c>
      <c r="H27" s="301" t="s">
        <v>615</v>
      </c>
    </row>
    <row r="28" ht="25.5" customHeight="1" spans="1:8" x14ac:dyDescent="0.25">
      <c r="A28" s="42">
        <v>45839</v>
      </c>
      <c r="B28" s="304"/>
      <c r="C28" s="305"/>
      <c r="D28" s="305"/>
      <c r="E28" s="306"/>
      <c r="F28" s="305"/>
      <c r="G28" s="305"/>
      <c r="H28" s="307"/>
    </row>
    <row r="29" ht="26.25" customHeight="1" spans="1:8" x14ac:dyDescent="0.25">
      <c r="A29" s="42">
        <v>45839</v>
      </c>
      <c r="B29" s="304"/>
      <c r="C29" s="305"/>
      <c r="D29" s="308" t="s">
        <v>596</v>
      </c>
      <c r="E29" s="309">
        <f>SUM(E14:E27)</f>
        <v>386.21000000000004</v>
      </c>
      <c r="F29" s="305"/>
      <c r="G29" s="305"/>
      <c r="H29" s="307"/>
    </row>
    <row r="30" ht="26.25" customHeight="1" spans="1:8" x14ac:dyDescent="0.25">
      <c r="A30" s="310"/>
      <c r="B30" s="311"/>
      <c r="C30" s="312"/>
      <c r="D30" s="312"/>
      <c r="E30" s="313" t="s">
        <v>616</v>
      </c>
      <c r="F30" s="312"/>
      <c r="G30" s="312"/>
      <c r="H30" s="314"/>
    </row>
    <row r="31" ht="26.25" customHeight="1" spans="1:8" x14ac:dyDescent="0.25">
      <c r="A31" s="42">
        <v>45870</v>
      </c>
      <c r="B31" s="299">
        <v>45870</v>
      </c>
      <c r="C31" s="301"/>
      <c r="D31" s="301" t="s">
        <v>609</v>
      </c>
      <c r="E31" s="302">
        <v>1.75</v>
      </c>
      <c r="F31" s="301" t="s">
        <v>582</v>
      </c>
      <c r="G31" s="301" t="s">
        <v>583</v>
      </c>
      <c r="H31" s="301" t="s">
        <v>561</v>
      </c>
    </row>
    <row r="32" ht="26.25" customHeight="1" spans="1:8" x14ac:dyDescent="0.25">
      <c r="A32" s="42">
        <v>45870</v>
      </c>
      <c r="B32" s="299">
        <v>45871</v>
      </c>
      <c r="C32" s="301"/>
      <c r="D32" s="301" t="s">
        <v>617</v>
      </c>
      <c r="E32" s="302">
        <v>27.99</v>
      </c>
      <c r="F32" s="301" t="s">
        <v>582</v>
      </c>
      <c r="G32" s="301" t="s">
        <v>583</v>
      </c>
      <c r="H32" s="301" t="s">
        <v>618</v>
      </c>
    </row>
    <row r="33" ht="26.25" customHeight="1" spans="1:8" x14ac:dyDescent="0.25">
      <c r="A33" s="42">
        <v>45870</v>
      </c>
      <c r="B33" s="299">
        <v>45872</v>
      </c>
      <c r="C33" s="303" t="s">
        <v>585</v>
      </c>
      <c r="D33" s="301" t="s">
        <v>588</v>
      </c>
      <c r="E33" s="302">
        <v>128.5</v>
      </c>
      <c r="F33" s="301" t="s">
        <v>582</v>
      </c>
      <c r="G33" s="301" t="s">
        <v>583</v>
      </c>
      <c r="H33" s="301" t="s">
        <v>619</v>
      </c>
    </row>
    <row r="34" ht="26.25" customHeight="1" spans="1:8" x14ac:dyDescent="0.25">
      <c r="A34" s="42">
        <v>45870</v>
      </c>
      <c r="B34" s="299">
        <v>45873</v>
      </c>
      <c r="C34" s="303" t="s">
        <v>585</v>
      </c>
      <c r="D34" s="301" t="s">
        <v>588</v>
      </c>
      <c r="E34" s="302">
        <v>8.5</v>
      </c>
      <c r="F34" s="301" t="s">
        <v>582</v>
      </c>
      <c r="G34" s="301" t="s">
        <v>583</v>
      </c>
      <c r="H34" s="301" t="s">
        <v>620</v>
      </c>
    </row>
    <row r="35" ht="26.25" customHeight="1" spans="1:8" x14ac:dyDescent="0.25">
      <c r="A35" s="42">
        <v>45870</v>
      </c>
      <c r="B35" s="299">
        <v>45874</v>
      </c>
      <c r="C35" s="303" t="s">
        <v>585</v>
      </c>
      <c r="D35" s="301" t="s">
        <v>588</v>
      </c>
      <c r="E35" s="302">
        <v>70.8</v>
      </c>
      <c r="F35" s="301" t="s">
        <v>582</v>
      </c>
      <c r="G35" s="301" t="s">
        <v>583</v>
      </c>
      <c r="H35" s="301" t="s">
        <v>621</v>
      </c>
    </row>
    <row r="36" ht="26.25" customHeight="1" spans="1:8" x14ac:dyDescent="0.25">
      <c r="A36" s="42">
        <v>45870</v>
      </c>
      <c r="B36" s="299">
        <v>45875</v>
      </c>
      <c r="C36" s="305"/>
      <c r="D36" s="305"/>
      <c r="E36" s="302">
        <v>80.92</v>
      </c>
      <c r="F36" s="301" t="s">
        <v>582</v>
      </c>
      <c r="G36" s="301" t="s">
        <v>583</v>
      </c>
      <c r="H36" s="301" t="s">
        <v>622</v>
      </c>
    </row>
    <row r="37" ht="26.25" customHeight="1" spans="1:8" x14ac:dyDescent="0.25">
      <c r="A37" s="42">
        <v>45870</v>
      </c>
      <c r="B37" s="299">
        <v>45875</v>
      </c>
      <c r="C37" s="301"/>
      <c r="D37" s="301" t="s">
        <v>623</v>
      </c>
      <c r="E37" s="302">
        <v>2.8</v>
      </c>
      <c r="F37" s="301" t="s">
        <v>582</v>
      </c>
      <c r="G37" s="301" t="s">
        <v>583</v>
      </c>
      <c r="H37" s="301" t="s">
        <v>624</v>
      </c>
    </row>
    <row r="38" ht="26.25" customHeight="1" spans="1:8" x14ac:dyDescent="0.25">
      <c r="A38" s="42">
        <v>45870</v>
      </c>
      <c r="B38" s="299">
        <v>45878</v>
      </c>
      <c r="C38" s="301"/>
      <c r="D38" s="301" t="s">
        <v>590</v>
      </c>
      <c r="E38" s="302">
        <v>44.18</v>
      </c>
      <c r="F38" s="301" t="s">
        <v>582</v>
      </c>
      <c r="G38" s="301" t="s">
        <v>583</v>
      </c>
      <c r="H38" s="301" t="s">
        <v>625</v>
      </c>
    </row>
    <row r="39" ht="26.25" customHeight="1" spans="1:8" x14ac:dyDescent="0.25">
      <c r="A39" s="42">
        <v>45870</v>
      </c>
      <c r="B39" s="299">
        <v>45878</v>
      </c>
      <c r="C39" s="301"/>
      <c r="D39" s="301" t="s">
        <v>590</v>
      </c>
      <c r="E39" s="302">
        <v>40</v>
      </c>
      <c r="F39" s="301" t="s">
        <v>582</v>
      </c>
      <c r="G39" s="301" t="s">
        <v>583</v>
      </c>
      <c r="H39" s="301" t="s">
        <v>626</v>
      </c>
    </row>
    <row r="40" ht="26.25" customHeight="1" spans="1:8" x14ac:dyDescent="0.25">
      <c r="A40" s="42">
        <v>45870</v>
      </c>
      <c r="B40" s="299">
        <v>45879</v>
      </c>
      <c r="C40" s="301"/>
      <c r="D40" s="301" t="s">
        <v>590</v>
      </c>
      <c r="E40" s="302">
        <v>39.95</v>
      </c>
      <c r="F40" s="301" t="s">
        <v>582</v>
      </c>
      <c r="G40" s="301" t="s">
        <v>583</v>
      </c>
      <c r="H40" s="301" t="s">
        <v>627</v>
      </c>
    </row>
    <row r="41" ht="26.25" customHeight="1" spans="1:8" x14ac:dyDescent="0.25">
      <c r="A41" s="42">
        <v>45870</v>
      </c>
      <c r="B41" s="299">
        <v>45884</v>
      </c>
      <c r="C41" s="301"/>
      <c r="D41" s="301" t="s">
        <v>628</v>
      </c>
      <c r="E41" s="302">
        <v>9.33</v>
      </c>
      <c r="F41" s="301" t="s">
        <v>582</v>
      </c>
      <c r="G41" s="301" t="s">
        <v>583</v>
      </c>
      <c r="H41" s="301" t="s">
        <v>629</v>
      </c>
    </row>
    <row r="42" ht="26.25" customHeight="1" spans="1:8" x14ac:dyDescent="0.25">
      <c r="A42" s="42">
        <v>45870</v>
      </c>
      <c r="B42" s="299">
        <v>45886</v>
      </c>
      <c r="C42" s="301"/>
      <c r="D42" s="301" t="s">
        <v>601</v>
      </c>
      <c r="E42" s="302">
        <v>4.95</v>
      </c>
      <c r="F42" s="301" t="s">
        <v>582</v>
      </c>
      <c r="G42" s="301" t="s">
        <v>583</v>
      </c>
      <c r="H42" s="301" t="s">
        <v>630</v>
      </c>
    </row>
    <row r="43" ht="26.25" customHeight="1" spans="1:8" x14ac:dyDescent="0.25">
      <c r="A43" s="42">
        <v>45870</v>
      </c>
      <c r="B43" s="299">
        <v>45889</v>
      </c>
      <c r="C43" s="301"/>
      <c r="D43" s="301" t="s">
        <v>631</v>
      </c>
      <c r="E43" s="302">
        <v>10</v>
      </c>
      <c r="F43" s="301" t="s">
        <v>582</v>
      </c>
      <c r="G43" s="301" t="s">
        <v>583</v>
      </c>
      <c r="H43" s="301" t="s">
        <v>632</v>
      </c>
    </row>
    <row r="44" ht="26.25" customHeight="1" spans="1:8" x14ac:dyDescent="0.25">
      <c r="A44" s="42">
        <v>45870</v>
      </c>
      <c r="B44" s="299">
        <v>45891</v>
      </c>
      <c r="C44" s="305"/>
      <c r="D44" s="301" t="s">
        <v>601</v>
      </c>
      <c r="E44" s="302">
        <v>4.95</v>
      </c>
      <c r="F44" s="301" t="s">
        <v>582</v>
      </c>
      <c r="G44" s="301" t="s">
        <v>583</v>
      </c>
      <c r="H44" s="301" t="s">
        <v>630</v>
      </c>
    </row>
    <row r="45" ht="26.25" customHeight="1" spans="1:8" x14ac:dyDescent="0.25">
      <c r="A45" s="42">
        <v>45870</v>
      </c>
      <c r="B45" s="299">
        <v>45891</v>
      </c>
      <c r="C45" s="300" t="s">
        <v>580</v>
      </c>
      <c r="D45" s="301" t="s">
        <v>601</v>
      </c>
      <c r="E45" s="302">
        <v>4.95</v>
      </c>
      <c r="F45" s="301" t="s">
        <v>582</v>
      </c>
      <c r="G45" s="301" t="s">
        <v>583</v>
      </c>
      <c r="H45" s="301" t="s">
        <v>630</v>
      </c>
    </row>
    <row r="46" ht="26.25" customHeight="1" spans="1:8" x14ac:dyDescent="0.25">
      <c r="A46" s="42">
        <v>45870</v>
      </c>
      <c r="B46" s="299">
        <v>45894</v>
      </c>
      <c r="C46" s="303" t="s">
        <v>585</v>
      </c>
      <c r="D46" s="301" t="s">
        <v>633</v>
      </c>
      <c r="E46" s="302">
        <v>118.8</v>
      </c>
      <c r="F46" s="301" t="s">
        <v>582</v>
      </c>
      <c r="G46" s="301" t="s">
        <v>583</v>
      </c>
      <c r="H46" s="301" t="s">
        <v>634</v>
      </c>
    </row>
    <row r="47" ht="26.25" customHeight="1" spans="1:8" x14ac:dyDescent="0.25">
      <c r="A47" s="42">
        <v>45870</v>
      </c>
      <c r="B47" s="299"/>
      <c r="C47" s="303" t="s">
        <v>585</v>
      </c>
      <c r="D47" s="301"/>
      <c r="E47" s="302">
        <v>39.99</v>
      </c>
      <c r="F47" s="301"/>
      <c r="G47" s="301"/>
      <c r="H47" s="301" t="s">
        <v>635</v>
      </c>
    </row>
    <row r="48" ht="25.5" customHeight="1" spans="1:8" x14ac:dyDescent="0.25">
      <c r="A48" s="42">
        <v>45870</v>
      </c>
      <c r="B48" s="299"/>
      <c r="C48" s="300" t="s">
        <v>580</v>
      </c>
      <c r="D48" s="301" t="s">
        <v>601</v>
      </c>
      <c r="E48" s="302">
        <v>4.95</v>
      </c>
      <c r="F48" s="301"/>
      <c r="G48" s="301"/>
      <c r="H48" s="315"/>
    </row>
    <row r="49" ht="26.25" customHeight="1" spans="1:8" x14ac:dyDescent="0.25">
      <c r="A49" s="42">
        <v>45870</v>
      </c>
      <c r="B49" s="299"/>
      <c r="C49" s="301"/>
      <c r="D49" s="301"/>
      <c r="E49" s="302"/>
      <c r="F49" s="301"/>
      <c r="G49" s="301"/>
      <c r="H49" s="315"/>
    </row>
    <row r="50" ht="26.25" customHeight="1" spans="1:8" x14ac:dyDescent="0.25">
      <c r="A50" s="42">
        <v>45870</v>
      </c>
      <c r="B50" s="304"/>
      <c r="C50" s="305"/>
      <c r="D50" s="308" t="s">
        <v>596</v>
      </c>
      <c r="E50" s="309">
        <f>SUM(E31:E48)</f>
        <v>643.3100000000001</v>
      </c>
      <c r="F50" s="305"/>
      <c r="G50" s="305"/>
      <c r="H50" s="307"/>
    </row>
    <row r="51" ht="26.25" customHeight="1" spans="1:8" x14ac:dyDescent="0.25">
      <c r="A51" s="310"/>
      <c r="B51" s="311"/>
      <c r="C51" s="312"/>
      <c r="D51" s="312"/>
      <c r="E51" s="313"/>
      <c r="F51" s="312"/>
      <c r="G51" s="312"/>
      <c r="H51" s="314"/>
    </row>
    <row r="52" ht="26.25" customHeight="1" spans="1:8" x14ac:dyDescent="0.25">
      <c r="A52" s="76">
        <v>45901</v>
      </c>
      <c r="B52" s="299">
        <v>45901</v>
      </c>
      <c r="C52" s="316" t="s">
        <v>636</v>
      </c>
      <c r="D52" s="301" t="s">
        <v>637</v>
      </c>
      <c r="E52" s="302">
        <v>1.75</v>
      </c>
      <c r="F52" s="302" t="s">
        <v>582</v>
      </c>
      <c r="G52" s="301" t="s">
        <v>583</v>
      </c>
      <c r="H52" s="301" t="s">
        <v>638</v>
      </c>
    </row>
    <row r="53" ht="26.25" customHeight="1" spans="1:8" x14ac:dyDescent="0.25">
      <c r="A53" s="76">
        <v>45901</v>
      </c>
      <c r="B53" s="299">
        <v>45901</v>
      </c>
      <c r="C53" s="316" t="s">
        <v>636</v>
      </c>
      <c r="D53" s="301" t="s">
        <v>637</v>
      </c>
      <c r="E53" s="302">
        <v>7.95</v>
      </c>
      <c r="F53" s="302" t="s">
        <v>582</v>
      </c>
      <c r="G53" s="301" t="s">
        <v>583</v>
      </c>
      <c r="H53" s="301" t="s">
        <v>639</v>
      </c>
    </row>
    <row r="54" ht="26.25" customHeight="1" spans="1:8" x14ac:dyDescent="0.25">
      <c r="A54" s="76">
        <v>45901</v>
      </c>
      <c r="B54" s="299">
        <v>45916</v>
      </c>
      <c r="C54" s="316" t="s">
        <v>636</v>
      </c>
      <c r="D54" s="301" t="s">
        <v>610</v>
      </c>
      <c r="E54" s="302">
        <v>3.05</v>
      </c>
      <c r="F54" s="302" t="s">
        <v>582</v>
      </c>
      <c r="G54" s="301" t="s">
        <v>583</v>
      </c>
      <c r="H54" s="301" t="s">
        <v>640</v>
      </c>
    </row>
    <row r="55" ht="26.25" customHeight="1" spans="1:8" x14ac:dyDescent="0.25">
      <c r="A55" s="76">
        <v>45901</v>
      </c>
      <c r="B55" s="317" t="s">
        <v>641</v>
      </c>
      <c r="C55" s="305"/>
      <c r="D55" s="301" t="s">
        <v>642</v>
      </c>
      <c r="E55" s="302">
        <v>6.85</v>
      </c>
      <c r="F55" s="302" t="s">
        <v>582</v>
      </c>
      <c r="G55" s="301" t="s">
        <v>583</v>
      </c>
      <c r="H55" s="315" t="s">
        <v>643</v>
      </c>
    </row>
    <row r="56" ht="26.25" customHeight="1" spans="1:8" x14ac:dyDescent="0.25">
      <c r="A56" s="76">
        <v>45901</v>
      </c>
      <c r="B56" s="317" t="s">
        <v>641</v>
      </c>
      <c r="C56" s="305"/>
      <c r="D56" s="301" t="s">
        <v>644</v>
      </c>
      <c r="E56" s="302">
        <v>23.18</v>
      </c>
      <c r="F56" s="302" t="s">
        <v>582</v>
      </c>
      <c r="G56" s="301" t="s">
        <v>583</v>
      </c>
      <c r="H56" s="315" t="s">
        <v>645</v>
      </c>
    </row>
    <row r="57" ht="26.25" customHeight="1" spans="1:8" x14ac:dyDescent="0.25">
      <c r="A57" s="76">
        <v>45901</v>
      </c>
      <c r="B57" s="317" t="s">
        <v>646</v>
      </c>
      <c r="C57" s="305"/>
      <c r="D57" s="301" t="s">
        <v>647</v>
      </c>
      <c r="E57" s="302">
        <v>19.99</v>
      </c>
      <c r="F57" s="302" t="s">
        <v>582</v>
      </c>
      <c r="G57" s="301" t="s">
        <v>583</v>
      </c>
      <c r="H57" s="315" t="s">
        <v>648</v>
      </c>
    </row>
    <row r="58" ht="26.25" customHeight="1" spans="1:8" x14ac:dyDescent="0.25">
      <c r="A58" s="76">
        <v>45901</v>
      </c>
      <c r="B58" s="317" t="s">
        <v>649</v>
      </c>
      <c r="C58" s="305"/>
      <c r="D58" s="301" t="s">
        <v>650</v>
      </c>
      <c r="E58" s="302">
        <v>19.42</v>
      </c>
      <c r="F58" s="302" t="s">
        <v>582</v>
      </c>
      <c r="G58" s="301" t="s">
        <v>583</v>
      </c>
      <c r="H58" s="315" t="s">
        <v>651</v>
      </c>
    </row>
    <row r="59" ht="26.25" customHeight="1" spans="1:8" x14ac:dyDescent="0.25">
      <c r="A59" s="76">
        <v>45901</v>
      </c>
      <c r="B59" s="317" t="s">
        <v>649</v>
      </c>
      <c r="C59" s="305"/>
      <c r="D59" s="301" t="s">
        <v>644</v>
      </c>
      <c r="E59" s="302">
        <v>34.15</v>
      </c>
      <c r="F59" s="302" t="s">
        <v>582</v>
      </c>
      <c r="G59" s="301" t="s">
        <v>583</v>
      </c>
      <c r="H59" s="315" t="s">
        <v>652</v>
      </c>
    </row>
    <row r="60" ht="26.25" customHeight="1" spans="1:8" x14ac:dyDescent="0.25">
      <c r="A60" s="76">
        <v>45901</v>
      </c>
      <c r="B60" s="317" t="s">
        <v>649</v>
      </c>
      <c r="C60" s="305"/>
      <c r="D60" s="301" t="s">
        <v>653</v>
      </c>
      <c r="E60" s="302">
        <v>70.8</v>
      </c>
      <c r="F60" s="302" t="s">
        <v>582</v>
      </c>
      <c r="G60" s="301" t="s">
        <v>583</v>
      </c>
      <c r="H60" s="315" t="s">
        <v>654</v>
      </c>
    </row>
    <row r="61" ht="26.25" customHeight="1" spans="1:8" x14ac:dyDescent="0.25">
      <c r="A61" s="76">
        <v>45901</v>
      </c>
      <c r="B61" s="317" t="s">
        <v>655</v>
      </c>
      <c r="C61" s="305"/>
      <c r="D61" s="301" t="s">
        <v>656</v>
      </c>
      <c r="E61" s="302">
        <v>4.95</v>
      </c>
      <c r="F61" s="302" t="s">
        <v>582</v>
      </c>
      <c r="G61" s="301" t="s">
        <v>583</v>
      </c>
      <c r="H61" s="315" t="s">
        <v>657</v>
      </c>
    </row>
    <row r="62" ht="26.25" customHeight="1" spans="1:8" x14ac:dyDescent="0.25">
      <c r="A62" s="76">
        <v>45901</v>
      </c>
      <c r="B62" s="317" t="s">
        <v>655</v>
      </c>
      <c r="C62" s="305"/>
      <c r="D62" s="301" t="s">
        <v>658</v>
      </c>
      <c r="E62" s="302">
        <v>4.95</v>
      </c>
      <c r="F62" s="302" t="s">
        <v>582</v>
      </c>
      <c r="G62" s="301" t="s">
        <v>583</v>
      </c>
      <c r="H62" s="315" t="s">
        <v>659</v>
      </c>
    </row>
    <row r="63" ht="26.25" customHeight="1" spans="1:8" x14ac:dyDescent="0.25">
      <c r="A63" s="76">
        <v>45901</v>
      </c>
      <c r="B63" s="317" t="s">
        <v>660</v>
      </c>
      <c r="C63" s="305"/>
      <c r="D63" s="301" t="s">
        <v>661</v>
      </c>
      <c r="E63" s="302">
        <v>46.87</v>
      </c>
      <c r="F63" s="302" t="s">
        <v>582</v>
      </c>
      <c r="G63" s="301" t="s">
        <v>583</v>
      </c>
      <c r="H63" s="315" t="s">
        <v>662</v>
      </c>
    </row>
    <row r="64" ht="26.25" customHeight="1" spans="1:8" x14ac:dyDescent="0.25">
      <c r="A64" s="76">
        <v>45901</v>
      </c>
      <c r="B64" s="317" t="s">
        <v>663</v>
      </c>
      <c r="C64" s="305"/>
      <c r="D64" s="301" t="s">
        <v>650</v>
      </c>
      <c r="E64" s="302">
        <v>8.99</v>
      </c>
      <c r="F64" s="302" t="s">
        <v>582</v>
      </c>
      <c r="G64" s="301" t="s">
        <v>583</v>
      </c>
      <c r="H64" s="315" t="s">
        <v>664</v>
      </c>
    </row>
    <row r="65" ht="26.25" customHeight="1" spans="1:8" x14ac:dyDescent="0.25">
      <c r="A65" s="76">
        <v>45901</v>
      </c>
      <c r="B65" s="317" t="s">
        <v>665</v>
      </c>
      <c r="C65" s="305"/>
      <c r="D65" s="301" t="s">
        <v>666</v>
      </c>
      <c r="E65" s="302">
        <v>214.67</v>
      </c>
      <c r="F65" s="302" t="s">
        <v>582</v>
      </c>
      <c r="G65" s="301" t="s">
        <v>583</v>
      </c>
      <c r="H65" s="315" t="s">
        <v>667</v>
      </c>
    </row>
    <row r="66" ht="26.25" customHeight="1" spans="1:8" x14ac:dyDescent="0.25">
      <c r="A66" s="76">
        <v>45901</v>
      </c>
      <c r="B66" s="317" t="s">
        <v>668</v>
      </c>
      <c r="C66" s="305"/>
      <c r="D66" s="301" t="s">
        <v>610</v>
      </c>
      <c r="E66" s="302">
        <v>3.05</v>
      </c>
      <c r="F66" s="302" t="s">
        <v>582</v>
      </c>
      <c r="G66" s="301" t="s">
        <v>583</v>
      </c>
      <c r="H66" s="315" t="s">
        <v>640</v>
      </c>
    </row>
    <row r="67" ht="26.25" customHeight="1" spans="1:8" x14ac:dyDescent="0.25">
      <c r="A67" s="76">
        <v>45901</v>
      </c>
      <c r="B67" s="317" t="s">
        <v>669</v>
      </c>
      <c r="C67" s="305"/>
      <c r="D67" s="301" t="s">
        <v>670</v>
      </c>
      <c r="E67" s="302">
        <v>49.99</v>
      </c>
      <c r="F67" s="302" t="s">
        <v>582</v>
      </c>
      <c r="G67" s="301" t="s">
        <v>583</v>
      </c>
      <c r="H67" s="315" t="s">
        <v>671</v>
      </c>
    </row>
    <row r="68" ht="26.25" customHeight="1" spans="1:8" x14ac:dyDescent="0.25">
      <c r="A68" s="76">
        <v>45901</v>
      </c>
      <c r="B68" s="317" t="s">
        <v>672</v>
      </c>
      <c r="C68" s="305"/>
      <c r="D68" s="301" t="s">
        <v>670</v>
      </c>
      <c r="E68" s="302">
        <v>6.49</v>
      </c>
      <c r="F68" s="302" t="s">
        <v>582</v>
      </c>
      <c r="G68" s="301" t="s">
        <v>583</v>
      </c>
      <c r="H68" s="315" t="s">
        <v>673</v>
      </c>
    </row>
    <row r="69" ht="26.25" customHeight="1" spans="1:8" x14ac:dyDescent="0.25">
      <c r="A69" s="76">
        <v>45901</v>
      </c>
      <c r="B69" s="317" t="s">
        <v>674</v>
      </c>
      <c r="C69" s="305"/>
      <c r="D69" s="301" t="s">
        <v>675</v>
      </c>
      <c r="E69" s="302">
        <v>8</v>
      </c>
      <c r="F69" s="302" t="s">
        <v>582</v>
      </c>
      <c r="G69" s="301" t="s">
        <v>583</v>
      </c>
      <c r="H69" s="315" t="s">
        <v>128</v>
      </c>
    </row>
    <row r="70" ht="26.25" customHeight="1" spans="1:8" x14ac:dyDescent="0.25">
      <c r="A70" s="76">
        <v>45901</v>
      </c>
      <c r="B70" s="317" t="s">
        <v>676</v>
      </c>
      <c r="C70" s="305"/>
      <c r="D70" s="301" t="s">
        <v>670</v>
      </c>
      <c r="E70" s="302">
        <v>8.49</v>
      </c>
      <c r="F70" s="302" t="s">
        <v>582</v>
      </c>
      <c r="G70" s="301" t="s">
        <v>583</v>
      </c>
      <c r="H70" s="315" t="s">
        <v>677</v>
      </c>
    </row>
    <row r="71" ht="26.25" customHeight="1" spans="1:8" x14ac:dyDescent="0.25">
      <c r="A71" s="76">
        <v>45901</v>
      </c>
      <c r="B71" s="317" t="s">
        <v>678</v>
      </c>
      <c r="C71" s="305"/>
      <c r="D71" s="301" t="s">
        <v>617</v>
      </c>
      <c r="E71" s="302">
        <v>90.95</v>
      </c>
      <c r="F71" s="302" t="s">
        <v>582</v>
      </c>
      <c r="G71" s="301" t="s">
        <v>583</v>
      </c>
      <c r="H71" s="315" t="s">
        <v>671</v>
      </c>
    </row>
    <row r="72" ht="26.25" customHeight="1" spans="1:8" x14ac:dyDescent="0.25">
      <c r="A72" s="76">
        <v>45901</v>
      </c>
      <c r="B72" s="317" t="s">
        <v>678</v>
      </c>
      <c r="C72" s="305"/>
      <c r="D72" s="301" t="s">
        <v>679</v>
      </c>
      <c r="E72" s="302">
        <v>157.08</v>
      </c>
      <c r="F72" s="302" t="s">
        <v>582</v>
      </c>
      <c r="G72" s="301" t="s">
        <v>583</v>
      </c>
      <c r="H72" s="315" t="s">
        <v>680</v>
      </c>
    </row>
    <row r="73" ht="26.25" customHeight="1" spans="1:8" x14ac:dyDescent="0.25">
      <c r="A73" s="76">
        <v>45901</v>
      </c>
      <c r="B73" s="317" t="s">
        <v>678</v>
      </c>
      <c r="C73" s="305"/>
      <c r="D73" s="301" t="s">
        <v>607</v>
      </c>
      <c r="E73" s="302">
        <v>52.99</v>
      </c>
      <c r="F73" s="302" t="s">
        <v>582</v>
      </c>
      <c r="G73" s="301" t="s">
        <v>583</v>
      </c>
      <c r="H73" s="315" t="s">
        <v>681</v>
      </c>
    </row>
    <row r="74" ht="26.25" customHeight="1" spans="1:8" x14ac:dyDescent="0.25">
      <c r="A74" s="76">
        <v>45901</v>
      </c>
      <c r="B74" s="317"/>
      <c r="C74" s="305"/>
      <c r="D74" s="301" t="s">
        <v>661</v>
      </c>
      <c r="E74" s="302">
        <v>9.7</v>
      </c>
      <c r="F74" s="302" t="s">
        <v>582</v>
      </c>
      <c r="G74" s="301" t="s">
        <v>583</v>
      </c>
      <c r="H74" s="315" t="s">
        <v>682</v>
      </c>
    </row>
    <row r="75" ht="26.25" customHeight="1" spans="1:8" x14ac:dyDescent="0.25">
      <c r="A75" s="76">
        <v>45901</v>
      </c>
      <c r="B75" s="304"/>
      <c r="C75" s="305"/>
      <c r="D75" s="305"/>
      <c r="E75" s="306"/>
      <c r="F75" s="306"/>
      <c r="G75" s="305"/>
      <c r="H75" s="307"/>
    </row>
    <row r="76" ht="26.5" customHeight="1" spans="1:8" x14ac:dyDescent="0.25">
      <c r="A76" s="76">
        <v>45901</v>
      </c>
      <c r="B76" s="304"/>
      <c r="C76" s="305"/>
      <c r="D76" s="308" t="s">
        <v>596</v>
      </c>
      <c r="E76" s="309">
        <f>SUM(E52:E74)</f>
        <v>854.3100000000001</v>
      </c>
      <c r="F76" s="305"/>
      <c r="G76" s="305"/>
      <c r="H76" s="307"/>
    </row>
    <row r="77" ht="26.5" customHeight="1" spans="1:8" x14ac:dyDescent="0.25">
      <c r="A77" s="80">
        <v>45901</v>
      </c>
      <c r="B77" s="311"/>
      <c r="C77" s="312"/>
      <c r="D77" s="312"/>
      <c r="E77" s="313"/>
      <c r="F77" s="312"/>
      <c r="G77" s="312"/>
      <c r="H77" s="314"/>
    </row>
    <row r="78" ht="26.5" customHeight="1" spans="1:8" x14ac:dyDescent="0.25">
      <c r="A78" s="76">
        <v>45931</v>
      </c>
      <c r="B78" s="299">
        <v>45933</v>
      </c>
      <c r="C78" s="303" t="s">
        <v>585</v>
      </c>
      <c r="D78" s="301" t="s">
        <v>683</v>
      </c>
      <c r="E78" s="302">
        <v>20</v>
      </c>
      <c r="F78" s="301" t="s">
        <v>582</v>
      </c>
      <c r="G78" s="301" t="s">
        <v>583</v>
      </c>
      <c r="H78" s="301" t="s">
        <v>684</v>
      </c>
    </row>
    <row r="79" ht="26.5" customHeight="1" spans="1:8" x14ac:dyDescent="0.25">
      <c r="A79" s="76">
        <v>45931</v>
      </c>
      <c r="B79" s="299">
        <v>45933</v>
      </c>
      <c r="C79" s="301"/>
      <c r="D79" s="301" t="s">
        <v>650</v>
      </c>
      <c r="E79" s="302">
        <v>8.64</v>
      </c>
      <c r="F79" s="301" t="s">
        <v>582</v>
      </c>
      <c r="G79" s="301" t="s">
        <v>583</v>
      </c>
      <c r="H79" s="301" t="s">
        <v>685</v>
      </c>
    </row>
    <row r="80" ht="26.5" customHeight="1" spans="1:8" x14ac:dyDescent="0.25">
      <c r="A80" s="76">
        <v>45931</v>
      </c>
      <c r="B80" s="299">
        <v>45933</v>
      </c>
      <c r="C80" s="303" t="s">
        <v>585</v>
      </c>
      <c r="D80" s="301" t="s">
        <v>686</v>
      </c>
      <c r="E80" s="302">
        <v>70.8</v>
      </c>
      <c r="F80" s="301" t="s">
        <v>582</v>
      </c>
      <c r="G80" s="301" t="s">
        <v>583</v>
      </c>
      <c r="H80" s="301" t="s">
        <v>654</v>
      </c>
    </row>
    <row r="81" ht="26.5" customHeight="1" spans="1:8" x14ac:dyDescent="0.25">
      <c r="A81" s="76">
        <v>45931</v>
      </c>
      <c r="B81" s="299">
        <v>45934</v>
      </c>
      <c r="C81" s="316" t="s">
        <v>636</v>
      </c>
      <c r="D81" s="301" t="s">
        <v>687</v>
      </c>
      <c r="E81" s="302">
        <v>30.33</v>
      </c>
      <c r="F81" s="301" t="s">
        <v>582</v>
      </c>
      <c r="G81" s="301" t="s">
        <v>583</v>
      </c>
      <c r="H81" s="301" t="s">
        <v>688</v>
      </c>
    </row>
    <row r="82" ht="26.5" customHeight="1" spans="1:8" x14ac:dyDescent="0.25">
      <c r="A82" s="76">
        <v>45931</v>
      </c>
      <c r="B82" s="299">
        <v>45934</v>
      </c>
      <c r="C82" s="316" t="s">
        <v>636</v>
      </c>
      <c r="D82" s="301" t="s">
        <v>689</v>
      </c>
      <c r="E82" s="302">
        <v>26.1</v>
      </c>
      <c r="F82" s="301" t="s">
        <v>582</v>
      </c>
      <c r="G82" s="301" t="s">
        <v>583</v>
      </c>
      <c r="H82" s="301" t="s">
        <v>688</v>
      </c>
    </row>
    <row r="83" ht="26.5" customHeight="1" spans="1:8" x14ac:dyDescent="0.25">
      <c r="A83" s="76">
        <v>45931</v>
      </c>
      <c r="B83" s="299">
        <v>45935</v>
      </c>
      <c r="C83" s="316" t="s">
        <v>636</v>
      </c>
      <c r="D83" s="301" t="s">
        <v>690</v>
      </c>
      <c r="E83" s="302">
        <v>13.8</v>
      </c>
      <c r="F83" s="301" t="s">
        <v>582</v>
      </c>
      <c r="G83" s="301" t="s">
        <v>583</v>
      </c>
      <c r="H83" s="301" t="s">
        <v>691</v>
      </c>
    </row>
    <row r="84" ht="26.5" customHeight="1" spans="1:8" x14ac:dyDescent="0.25">
      <c r="A84" s="76">
        <v>45931</v>
      </c>
      <c r="B84" s="299">
        <v>45935</v>
      </c>
      <c r="C84" s="316" t="s">
        <v>636</v>
      </c>
      <c r="D84" s="301" t="s">
        <v>687</v>
      </c>
      <c r="E84" s="302">
        <v>6.66</v>
      </c>
      <c r="F84" s="301" t="s">
        <v>582</v>
      </c>
      <c r="G84" s="301" t="s">
        <v>583</v>
      </c>
      <c r="H84" s="301" t="s">
        <v>688</v>
      </c>
    </row>
    <row r="85" ht="33" customHeight="1" spans="1:8" x14ac:dyDescent="0.25">
      <c r="A85" s="76">
        <v>45931</v>
      </c>
      <c r="B85" s="299">
        <v>45936</v>
      </c>
      <c r="C85" s="303" t="s">
        <v>585</v>
      </c>
      <c r="D85" s="301" t="s">
        <v>650</v>
      </c>
      <c r="E85" s="302">
        <v>16.99</v>
      </c>
      <c r="F85" s="301" t="s">
        <v>582</v>
      </c>
      <c r="G85" s="301" t="s">
        <v>583</v>
      </c>
      <c r="H85" s="301" t="s">
        <v>692</v>
      </c>
    </row>
    <row r="86" ht="26.5" customHeight="1" spans="1:8" x14ac:dyDescent="0.25">
      <c r="A86" s="76">
        <v>45931</v>
      </c>
      <c r="B86" s="299">
        <v>45936</v>
      </c>
      <c r="C86" s="301"/>
      <c r="D86" s="301" t="s">
        <v>661</v>
      </c>
      <c r="E86" s="302">
        <v>9.7</v>
      </c>
      <c r="F86" s="301" t="s">
        <v>582</v>
      </c>
      <c r="G86" s="301" t="s">
        <v>583</v>
      </c>
      <c r="H86" s="301" t="s">
        <v>693</v>
      </c>
    </row>
    <row r="87" ht="26.5" customHeight="1" spans="1:8" x14ac:dyDescent="0.25">
      <c r="A87" s="76">
        <v>45931</v>
      </c>
      <c r="B87" s="299">
        <v>45940</v>
      </c>
      <c r="C87" s="301"/>
      <c r="D87" s="301" t="s">
        <v>140</v>
      </c>
      <c r="E87" s="302">
        <v>260</v>
      </c>
      <c r="F87" s="301" t="s">
        <v>582</v>
      </c>
      <c r="G87" s="301" t="s">
        <v>583</v>
      </c>
      <c r="H87" s="301" t="s">
        <v>694</v>
      </c>
    </row>
    <row r="88" ht="26.5" customHeight="1" spans="1:8" x14ac:dyDescent="0.25">
      <c r="A88" s="76">
        <v>45931</v>
      </c>
      <c r="B88" s="299">
        <v>45938</v>
      </c>
      <c r="C88" s="303" t="s">
        <v>585</v>
      </c>
      <c r="D88" s="301" t="s">
        <v>695</v>
      </c>
      <c r="E88" s="302">
        <v>1950</v>
      </c>
      <c r="F88" s="301" t="s">
        <v>582</v>
      </c>
      <c r="G88" s="301" t="s">
        <v>583</v>
      </c>
      <c r="H88" s="301" t="s">
        <v>696</v>
      </c>
    </row>
    <row r="89" ht="26.5" customHeight="1" spans="1:8" x14ac:dyDescent="0.25">
      <c r="A89" s="76">
        <v>45931</v>
      </c>
      <c r="B89" s="299">
        <v>45941</v>
      </c>
      <c r="C89" s="301"/>
      <c r="D89" s="301" t="s">
        <v>697</v>
      </c>
      <c r="E89" s="302">
        <v>55</v>
      </c>
      <c r="F89" s="301" t="s">
        <v>698</v>
      </c>
      <c r="G89" s="301" t="s">
        <v>583</v>
      </c>
      <c r="H89" s="301" t="s">
        <v>699</v>
      </c>
    </row>
    <row r="90" ht="26.5" customHeight="1" spans="1:8" x14ac:dyDescent="0.25">
      <c r="A90" s="76">
        <v>45931</v>
      </c>
      <c r="B90" s="299">
        <v>45942</v>
      </c>
      <c r="C90" s="301"/>
      <c r="D90" s="301" t="s">
        <v>687</v>
      </c>
      <c r="E90" s="302">
        <v>7.99</v>
      </c>
      <c r="F90" s="301" t="s">
        <v>582</v>
      </c>
      <c r="G90" s="301" t="s">
        <v>583</v>
      </c>
      <c r="H90" s="301" t="s">
        <v>700</v>
      </c>
    </row>
    <row r="91" ht="26.5" customHeight="1" spans="1:8" x14ac:dyDescent="0.25">
      <c r="A91" s="76">
        <v>45931</v>
      </c>
      <c r="B91" s="299">
        <v>45942</v>
      </c>
      <c r="C91" s="301"/>
      <c r="D91" s="301" t="s">
        <v>701</v>
      </c>
      <c r="E91" s="302">
        <v>2</v>
      </c>
      <c r="F91" s="301" t="s">
        <v>582</v>
      </c>
      <c r="G91" s="301" t="s">
        <v>583</v>
      </c>
      <c r="H91" s="301" t="s">
        <v>702</v>
      </c>
    </row>
    <row r="92" ht="26.5" customHeight="1" spans="1:8" x14ac:dyDescent="0.25">
      <c r="A92" s="76">
        <v>45931</v>
      </c>
      <c r="B92" s="299">
        <v>45942</v>
      </c>
      <c r="C92" s="301"/>
      <c r="D92" s="301" t="s">
        <v>703</v>
      </c>
      <c r="E92" s="302">
        <v>10</v>
      </c>
      <c r="F92" s="301" t="s">
        <v>698</v>
      </c>
      <c r="G92" s="301" t="s">
        <v>583</v>
      </c>
      <c r="H92" s="301" t="s">
        <v>704</v>
      </c>
    </row>
    <row r="93" ht="26.5" customHeight="1" spans="1:8" x14ac:dyDescent="0.25">
      <c r="A93" s="76">
        <v>45931</v>
      </c>
      <c r="B93" s="299">
        <v>45942</v>
      </c>
      <c r="C93" s="301"/>
      <c r="D93" s="301" t="s">
        <v>687</v>
      </c>
      <c r="E93" s="302">
        <v>40</v>
      </c>
      <c r="F93" s="301" t="s">
        <v>698</v>
      </c>
      <c r="G93" s="301" t="s">
        <v>583</v>
      </c>
      <c r="H93" s="301" t="s">
        <v>705</v>
      </c>
    </row>
    <row r="94" ht="26.5" customHeight="1" spans="1:8" x14ac:dyDescent="0.25">
      <c r="A94" s="76">
        <v>45931</v>
      </c>
      <c r="B94" s="299">
        <v>45942</v>
      </c>
      <c r="C94" s="301"/>
      <c r="D94" s="301" t="s">
        <v>573</v>
      </c>
      <c r="E94" s="302">
        <v>214.67</v>
      </c>
      <c r="F94" s="301" t="s">
        <v>582</v>
      </c>
      <c r="G94" s="301" t="s">
        <v>583</v>
      </c>
      <c r="H94" s="301" t="s">
        <v>706</v>
      </c>
    </row>
    <row r="95" ht="26.5" customHeight="1" spans="1:8" x14ac:dyDescent="0.25">
      <c r="A95" s="76">
        <v>45931</v>
      </c>
      <c r="B95" s="299">
        <v>45943</v>
      </c>
      <c r="C95" s="301"/>
      <c r="D95" s="301" t="s">
        <v>700</v>
      </c>
      <c r="E95" s="302">
        <v>19.99</v>
      </c>
      <c r="F95" s="301" t="s">
        <v>582</v>
      </c>
      <c r="G95" s="301" t="s">
        <v>583</v>
      </c>
      <c r="H95" s="301" t="s">
        <v>707</v>
      </c>
    </row>
    <row r="96" ht="26.5" customHeight="1" spans="1:8" x14ac:dyDescent="0.25">
      <c r="A96" s="76">
        <v>45931</v>
      </c>
      <c r="B96" s="299">
        <v>45943</v>
      </c>
      <c r="C96" s="301"/>
      <c r="D96" s="301" t="s">
        <v>708</v>
      </c>
      <c r="E96" s="302">
        <v>7.99</v>
      </c>
      <c r="F96" s="301" t="s">
        <v>582</v>
      </c>
      <c r="G96" s="301" t="s">
        <v>583</v>
      </c>
      <c r="H96" s="301" t="s">
        <v>709</v>
      </c>
    </row>
    <row r="97" ht="26.5" customHeight="1" spans="1:8" x14ac:dyDescent="0.25">
      <c r="A97" s="76">
        <v>45931</v>
      </c>
      <c r="B97" s="299">
        <v>45947</v>
      </c>
      <c r="C97" s="301"/>
      <c r="D97" s="301" t="s">
        <v>683</v>
      </c>
      <c r="E97" s="302">
        <v>8.99</v>
      </c>
      <c r="F97" s="301" t="s">
        <v>582</v>
      </c>
      <c r="G97" s="301" t="s">
        <v>583</v>
      </c>
      <c r="H97" s="301" t="s">
        <v>710</v>
      </c>
    </row>
    <row r="98" ht="26.5" customHeight="1" spans="1:8" x14ac:dyDescent="0.25">
      <c r="A98" s="76">
        <v>45931</v>
      </c>
      <c r="B98" s="299">
        <v>45949</v>
      </c>
      <c r="C98" s="301"/>
      <c r="D98" s="301" t="s">
        <v>687</v>
      </c>
      <c r="E98" s="302">
        <v>10.5</v>
      </c>
      <c r="F98" s="301" t="s">
        <v>582</v>
      </c>
      <c r="G98" s="301" t="s">
        <v>583</v>
      </c>
      <c r="H98" s="301" t="s">
        <v>711</v>
      </c>
    </row>
    <row r="99" ht="26.5" customHeight="1" spans="1:8" x14ac:dyDescent="0.25">
      <c r="A99" s="76">
        <v>45931</v>
      </c>
      <c r="B99" s="299">
        <v>45949</v>
      </c>
      <c r="C99" s="301"/>
      <c r="D99" s="301" t="s">
        <v>700</v>
      </c>
      <c r="E99" s="302">
        <v>5.94</v>
      </c>
      <c r="F99" s="301" t="s">
        <v>582</v>
      </c>
      <c r="G99" s="301" t="s">
        <v>583</v>
      </c>
      <c r="H99" s="301" t="s">
        <v>712</v>
      </c>
    </row>
    <row r="100" ht="26.5" customHeight="1" spans="1:8" x14ac:dyDescent="0.25">
      <c r="A100" s="76">
        <v>45931</v>
      </c>
      <c r="B100" s="299">
        <v>45956</v>
      </c>
      <c r="C100" s="301"/>
      <c r="D100" s="301" t="s">
        <v>700</v>
      </c>
      <c r="E100" s="302">
        <v>23.01</v>
      </c>
      <c r="F100" s="301" t="s">
        <v>582</v>
      </c>
      <c r="G100" s="301" t="s">
        <v>583</v>
      </c>
      <c r="H100" s="301" t="s">
        <v>713</v>
      </c>
    </row>
    <row r="101" ht="26.5" customHeight="1" spans="1:8" x14ac:dyDescent="0.25">
      <c r="A101" s="76">
        <v>45931</v>
      </c>
      <c r="B101" s="299">
        <v>45956</v>
      </c>
      <c r="C101" s="301"/>
      <c r="D101" s="301" t="s">
        <v>700</v>
      </c>
      <c r="E101" s="302">
        <v>46.99</v>
      </c>
      <c r="F101" s="301" t="s">
        <v>582</v>
      </c>
      <c r="G101" s="301" t="s">
        <v>583</v>
      </c>
      <c r="H101" s="301" t="s">
        <v>714</v>
      </c>
    </row>
    <row r="102" ht="26.5" customHeight="1" spans="1:8" x14ac:dyDescent="0.25">
      <c r="A102" s="76">
        <v>45931</v>
      </c>
      <c r="B102" s="299">
        <v>45956</v>
      </c>
      <c r="C102" s="301"/>
      <c r="D102" s="301" t="s">
        <v>605</v>
      </c>
      <c r="E102" s="302">
        <v>80</v>
      </c>
      <c r="F102" s="301" t="s">
        <v>582</v>
      </c>
      <c r="G102" s="301" t="s">
        <v>583</v>
      </c>
      <c r="H102" s="301" t="s">
        <v>715</v>
      </c>
    </row>
    <row r="103" ht="26.5" customHeight="1" spans="1:8" x14ac:dyDescent="0.25">
      <c r="A103" s="76">
        <v>45931</v>
      </c>
      <c r="B103" s="299">
        <v>45956</v>
      </c>
      <c r="C103" s="301"/>
      <c r="D103" s="301" t="s">
        <v>605</v>
      </c>
      <c r="E103" s="302">
        <v>160</v>
      </c>
      <c r="F103" s="301" t="s">
        <v>582</v>
      </c>
      <c r="G103" s="301" t="s">
        <v>583</v>
      </c>
      <c r="H103" s="301" t="s">
        <v>716</v>
      </c>
    </row>
    <row r="104" ht="26.5" customHeight="1" spans="1:8" x14ac:dyDescent="0.25">
      <c r="A104" s="76">
        <v>45931</v>
      </c>
      <c r="B104" s="299">
        <v>45958</v>
      </c>
      <c r="C104" s="301"/>
      <c r="D104" s="301" t="s">
        <v>717</v>
      </c>
      <c r="E104" s="302">
        <v>6.2</v>
      </c>
      <c r="F104" s="301" t="s">
        <v>582</v>
      </c>
      <c r="G104" s="301" t="s">
        <v>583</v>
      </c>
      <c r="H104" s="301" t="s">
        <v>718</v>
      </c>
    </row>
    <row r="105" ht="26.5" customHeight="1" spans="1:8" x14ac:dyDescent="0.25">
      <c r="A105" s="76">
        <v>45931</v>
      </c>
      <c r="B105" s="299">
        <v>45959</v>
      </c>
      <c r="C105" s="301"/>
      <c r="D105" s="301" t="s">
        <v>700</v>
      </c>
      <c r="E105" s="302">
        <v>20</v>
      </c>
      <c r="F105" s="301" t="s">
        <v>582</v>
      </c>
      <c r="G105" s="301" t="s">
        <v>583</v>
      </c>
      <c r="H105" s="301" t="s">
        <v>719</v>
      </c>
    </row>
    <row r="106" ht="26.5" customHeight="1" spans="1:8" x14ac:dyDescent="0.25">
      <c r="A106" s="76">
        <v>45931</v>
      </c>
      <c r="B106" s="304"/>
      <c r="C106" s="305"/>
      <c r="D106" s="305"/>
      <c r="E106" s="306"/>
      <c r="F106" s="305"/>
      <c r="G106" s="305"/>
      <c r="H106" s="307"/>
    </row>
    <row r="107" ht="26.5" customHeight="1" spans="1:8" x14ac:dyDescent="0.25">
      <c r="A107" s="76">
        <v>45931</v>
      </c>
      <c r="B107" s="304"/>
      <c r="C107" s="305"/>
      <c r="D107" s="308" t="s">
        <v>596</v>
      </c>
      <c r="E107" s="309">
        <f>SUM(E78:E105)</f>
        <v>3132.289999999999</v>
      </c>
      <c r="F107" s="305"/>
      <c r="G107" s="305"/>
      <c r="H107" s="307"/>
    </row>
    <row r="108" ht="26.5" customHeight="1" spans="1:8" x14ac:dyDescent="0.25">
      <c r="A108" s="310"/>
      <c r="B108" s="318"/>
      <c r="C108" s="312"/>
      <c r="D108" s="312"/>
      <c r="E108" s="313"/>
      <c r="F108" s="312"/>
      <c r="G108" s="312"/>
      <c r="H108" s="314"/>
    </row>
    <row r="109" ht="26.5" customHeight="1" spans="1:8" x14ac:dyDescent="0.25">
      <c r="A109" s="76">
        <v>45962</v>
      </c>
      <c r="B109" s="299"/>
      <c r="C109" s="301"/>
      <c r="D109" s="301" t="s">
        <v>720</v>
      </c>
      <c r="E109" s="302">
        <v>40</v>
      </c>
      <c r="F109" s="301" t="s">
        <v>698</v>
      </c>
      <c r="G109" s="301" t="s">
        <v>583</v>
      </c>
      <c r="H109" s="301" t="s">
        <v>721</v>
      </c>
    </row>
    <row r="110" ht="26.5" customHeight="1" spans="1:8" x14ac:dyDescent="0.25">
      <c r="A110" s="76">
        <v>45962</v>
      </c>
      <c r="B110" s="299"/>
      <c r="C110" s="301"/>
      <c r="D110" s="301" t="s">
        <v>720</v>
      </c>
      <c r="E110" s="302">
        <v>15</v>
      </c>
      <c r="F110" s="301" t="s">
        <v>698</v>
      </c>
      <c r="G110" s="301" t="s">
        <v>583</v>
      </c>
      <c r="H110" s="301" t="s">
        <v>722</v>
      </c>
    </row>
    <row r="111" ht="26.5" customHeight="1" spans="1:8" x14ac:dyDescent="0.25">
      <c r="A111" s="76">
        <v>45962</v>
      </c>
      <c r="B111" s="319"/>
      <c r="C111" s="305"/>
      <c r="D111" s="301" t="s">
        <v>720</v>
      </c>
      <c r="E111" s="302">
        <v>100</v>
      </c>
      <c r="F111" s="301" t="s">
        <v>598</v>
      </c>
      <c r="G111" s="301" t="s">
        <v>583</v>
      </c>
      <c r="H111" s="315" t="s">
        <v>723</v>
      </c>
    </row>
    <row r="112" ht="26.5" customHeight="1" spans="1:8" x14ac:dyDescent="0.25">
      <c r="A112" s="76">
        <v>45962</v>
      </c>
      <c r="B112" s="319"/>
      <c r="C112" s="305"/>
      <c r="D112" s="301" t="s">
        <v>720</v>
      </c>
      <c r="E112" s="302">
        <v>35</v>
      </c>
      <c r="F112" s="301" t="s">
        <v>698</v>
      </c>
      <c r="G112" s="301" t="s">
        <v>583</v>
      </c>
      <c r="H112" s="301" t="s">
        <v>724</v>
      </c>
    </row>
    <row r="113" ht="26.5" customHeight="1" spans="1:8" x14ac:dyDescent="0.25">
      <c r="A113" s="76">
        <v>45962</v>
      </c>
      <c r="B113" s="319"/>
      <c r="C113" s="303" t="s">
        <v>585</v>
      </c>
      <c r="D113" s="301" t="s">
        <v>706</v>
      </c>
      <c r="E113" s="302">
        <v>17.06</v>
      </c>
      <c r="F113" s="301" t="s">
        <v>725</v>
      </c>
      <c r="G113" s="301" t="s">
        <v>583</v>
      </c>
      <c r="H113" s="301" t="s">
        <v>726</v>
      </c>
    </row>
    <row r="114" ht="26.5" customHeight="1" spans="1:8" x14ac:dyDescent="0.25">
      <c r="A114" s="76">
        <v>45962</v>
      </c>
      <c r="B114" s="319"/>
      <c r="C114" s="303" t="s">
        <v>585</v>
      </c>
      <c r="D114" s="301" t="s">
        <v>683</v>
      </c>
      <c r="E114" s="302">
        <v>20</v>
      </c>
      <c r="F114" s="301" t="s">
        <v>725</v>
      </c>
      <c r="G114" s="301" t="s">
        <v>583</v>
      </c>
      <c r="H114" s="301" t="s">
        <v>684</v>
      </c>
    </row>
    <row r="115" ht="26.5" customHeight="1" spans="1:8" x14ac:dyDescent="0.25">
      <c r="A115" s="76">
        <v>45962</v>
      </c>
      <c r="B115" s="319"/>
      <c r="C115" s="303" t="s">
        <v>585</v>
      </c>
      <c r="D115" s="301" t="s">
        <v>683</v>
      </c>
      <c r="E115" s="302">
        <v>70.8</v>
      </c>
      <c r="F115" s="301" t="s">
        <v>725</v>
      </c>
      <c r="G115" s="301" t="s">
        <v>583</v>
      </c>
      <c r="H115" s="301" t="s">
        <v>727</v>
      </c>
    </row>
    <row r="116" ht="26.5" customHeight="1" spans="1:8" x14ac:dyDescent="0.25">
      <c r="A116" s="76">
        <v>45962</v>
      </c>
      <c r="B116" s="319"/>
      <c r="C116" s="305"/>
      <c r="D116" s="301" t="s">
        <v>637</v>
      </c>
      <c r="E116" s="302">
        <v>7.48</v>
      </c>
      <c r="F116" s="301" t="s">
        <v>725</v>
      </c>
      <c r="G116" s="301" t="s">
        <v>583</v>
      </c>
      <c r="H116" s="301" t="s">
        <v>728</v>
      </c>
    </row>
    <row r="117" ht="26.5" customHeight="1" spans="1:8" x14ac:dyDescent="0.25">
      <c r="A117" s="320">
        <v>45962</v>
      </c>
      <c r="B117" s="321"/>
      <c r="C117" s="303" t="s">
        <v>585</v>
      </c>
      <c r="D117" s="322" t="s">
        <v>695</v>
      </c>
      <c r="E117" s="323">
        <v>2500</v>
      </c>
      <c r="F117" s="322" t="s">
        <v>698</v>
      </c>
      <c r="G117" s="324" t="s">
        <v>599</v>
      </c>
      <c r="H117" s="325" t="s">
        <v>729</v>
      </c>
    </row>
    <row r="118" ht="26.5" customHeight="1" spans="1:8" x14ac:dyDescent="0.25">
      <c r="A118" s="76">
        <v>45962</v>
      </c>
      <c r="B118" s="319"/>
      <c r="C118" s="303" t="s">
        <v>585</v>
      </c>
      <c r="D118" s="301"/>
      <c r="E118" s="302">
        <v>260</v>
      </c>
      <c r="F118" s="301" t="s">
        <v>725</v>
      </c>
      <c r="G118" s="301" t="s">
        <v>583</v>
      </c>
      <c r="H118" s="301" t="s">
        <v>730</v>
      </c>
    </row>
    <row r="119" ht="26.5" customHeight="1" spans="1:8" x14ac:dyDescent="0.25">
      <c r="A119" s="76">
        <v>45962</v>
      </c>
      <c r="B119" s="319"/>
      <c r="C119" s="305"/>
      <c r="D119" s="301" t="s">
        <v>731</v>
      </c>
      <c r="E119" s="302">
        <v>68.28</v>
      </c>
      <c r="F119" s="301" t="s">
        <v>725</v>
      </c>
      <c r="G119" s="301" t="s">
        <v>583</v>
      </c>
      <c r="H119" s="315" t="s">
        <v>732</v>
      </c>
    </row>
    <row r="120" ht="26.5" customHeight="1" spans="1:8" x14ac:dyDescent="0.25">
      <c r="A120" s="76">
        <v>45962</v>
      </c>
      <c r="B120" s="299">
        <v>45976</v>
      </c>
      <c r="C120" s="301"/>
      <c r="D120" s="301" t="s">
        <v>720</v>
      </c>
      <c r="E120" s="302">
        <v>30</v>
      </c>
      <c r="F120" s="301" t="s">
        <v>698</v>
      </c>
      <c r="G120" s="301" t="s">
        <v>583</v>
      </c>
      <c r="H120" s="315" t="s">
        <v>733</v>
      </c>
    </row>
    <row r="121" ht="26.5" customHeight="1" spans="1:8" x14ac:dyDescent="0.25">
      <c r="A121" s="76">
        <v>45962</v>
      </c>
      <c r="B121" s="299">
        <v>45975</v>
      </c>
      <c r="C121" s="303" t="s">
        <v>585</v>
      </c>
      <c r="D121" s="301" t="s">
        <v>573</v>
      </c>
      <c r="E121" s="302">
        <v>283.19</v>
      </c>
      <c r="F121" s="301" t="s">
        <v>725</v>
      </c>
      <c r="G121" s="301" t="s">
        <v>583</v>
      </c>
      <c r="H121" s="315" t="s">
        <v>734</v>
      </c>
    </row>
    <row r="122" ht="26.5" customHeight="1" spans="1:8" x14ac:dyDescent="0.25">
      <c r="A122" s="76">
        <v>45962</v>
      </c>
      <c r="B122" s="299">
        <v>45971</v>
      </c>
      <c r="C122" s="305"/>
      <c r="D122" s="301" t="s">
        <v>700</v>
      </c>
      <c r="E122" s="302">
        <v>17.71</v>
      </c>
      <c r="F122" s="301" t="s">
        <v>725</v>
      </c>
      <c r="G122" s="301" t="s">
        <v>583</v>
      </c>
      <c r="H122" s="301" t="s">
        <v>735</v>
      </c>
    </row>
    <row r="123" ht="26.5" customHeight="1" spans="1:8" x14ac:dyDescent="0.25">
      <c r="A123" s="76">
        <v>45962</v>
      </c>
      <c r="B123" s="299">
        <v>45967</v>
      </c>
      <c r="C123" s="305"/>
      <c r="D123" s="301" t="s">
        <v>561</v>
      </c>
      <c r="E123" s="302">
        <v>3.1</v>
      </c>
      <c r="F123" s="301" t="s">
        <v>725</v>
      </c>
      <c r="G123" s="301" t="s">
        <v>583</v>
      </c>
      <c r="H123" s="315" t="s">
        <v>736</v>
      </c>
    </row>
    <row r="124" ht="26.5" customHeight="1" spans="1:8" x14ac:dyDescent="0.25">
      <c r="A124" s="76">
        <v>45962</v>
      </c>
      <c r="B124" s="299">
        <v>45978</v>
      </c>
      <c r="C124" s="301"/>
      <c r="D124" s="301"/>
      <c r="E124" s="302">
        <v>10</v>
      </c>
      <c r="F124" s="301"/>
      <c r="G124" s="301" t="s">
        <v>583</v>
      </c>
      <c r="H124" s="315" t="s">
        <v>737</v>
      </c>
    </row>
    <row r="125" ht="26.5" customHeight="1" spans="1:8" x14ac:dyDescent="0.25">
      <c r="A125" s="76">
        <v>45962</v>
      </c>
      <c r="B125" s="299">
        <v>45980</v>
      </c>
      <c r="C125" s="303" t="s">
        <v>585</v>
      </c>
      <c r="D125" s="301" t="s">
        <v>738</v>
      </c>
      <c r="E125" s="302">
        <v>4.25</v>
      </c>
      <c r="F125" s="301" t="s">
        <v>725</v>
      </c>
      <c r="G125" s="301" t="s">
        <v>583</v>
      </c>
      <c r="H125" s="315" t="s">
        <v>739</v>
      </c>
    </row>
    <row r="126" ht="26.5" customHeight="1" spans="1:8" x14ac:dyDescent="0.25">
      <c r="A126" s="76">
        <v>45962</v>
      </c>
      <c r="B126" s="299">
        <v>45980</v>
      </c>
      <c r="C126" s="301"/>
      <c r="D126" s="301" t="s">
        <v>642</v>
      </c>
      <c r="E126" s="302">
        <v>11.45</v>
      </c>
      <c r="F126" s="301"/>
      <c r="G126" s="301" t="s">
        <v>583</v>
      </c>
      <c r="H126" s="315" t="s">
        <v>740</v>
      </c>
    </row>
    <row r="127" ht="26.5" customHeight="1" spans="1:8" x14ac:dyDescent="0.25">
      <c r="A127" s="76">
        <v>45962</v>
      </c>
      <c r="B127" s="299">
        <v>45981</v>
      </c>
      <c r="C127" s="301"/>
      <c r="D127" s="301" t="s">
        <v>561</v>
      </c>
      <c r="E127" s="302">
        <v>3.8</v>
      </c>
      <c r="F127" s="301"/>
      <c r="G127" s="301" t="s">
        <v>583</v>
      </c>
      <c r="H127" s="315" t="s">
        <v>741</v>
      </c>
    </row>
    <row r="128" ht="26.5" customHeight="1" spans="1:8" x14ac:dyDescent="0.25">
      <c r="A128" s="76">
        <v>45962</v>
      </c>
      <c r="B128" s="299">
        <v>45982</v>
      </c>
      <c r="C128" s="303" t="s">
        <v>585</v>
      </c>
      <c r="D128" s="301" t="s">
        <v>700</v>
      </c>
      <c r="E128" s="302">
        <v>198.54</v>
      </c>
      <c r="F128" s="301"/>
      <c r="G128" s="301" t="s">
        <v>583</v>
      </c>
      <c r="H128" s="315" t="s">
        <v>742</v>
      </c>
    </row>
    <row r="129" ht="26.5" customHeight="1" spans="1:8" x14ac:dyDescent="0.25">
      <c r="A129" s="76">
        <v>45962</v>
      </c>
      <c r="B129" s="299">
        <v>45985</v>
      </c>
      <c r="C129" s="303" t="s">
        <v>585</v>
      </c>
      <c r="D129" s="301" t="s">
        <v>700</v>
      </c>
      <c r="E129" s="302">
        <v>20</v>
      </c>
      <c r="F129" s="301"/>
      <c r="G129" s="301" t="s">
        <v>583</v>
      </c>
      <c r="H129" s="315" t="s">
        <v>743</v>
      </c>
    </row>
    <row r="130" ht="26.5" customHeight="1" spans="1:8" x14ac:dyDescent="0.25">
      <c r="A130" s="76">
        <v>45962</v>
      </c>
      <c r="B130" s="299">
        <v>45985</v>
      </c>
      <c r="C130" s="303" t="s">
        <v>585</v>
      </c>
      <c r="D130" s="301" t="s">
        <v>744</v>
      </c>
      <c r="E130" s="302">
        <f>5.98*2</f>
        <v>11.96</v>
      </c>
      <c r="F130" s="301"/>
      <c r="G130" s="301" t="s">
        <v>583</v>
      </c>
      <c r="H130" s="315" t="s">
        <v>745</v>
      </c>
    </row>
    <row r="131" ht="26.5" customHeight="1" spans="1:8" x14ac:dyDescent="0.25">
      <c r="A131" s="76">
        <v>45962</v>
      </c>
      <c r="B131" s="299">
        <v>45985</v>
      </c>
      <c r="C131" s="303" t="s">
        <v>585</v>
      </c>
      <c r="D131" s="301" t="s">
        <v>744</v>
      </c>
      <c r="E131" s="302">
        <v>8.5</v>
      </c>
      <c r="F131" s="301"/>
      <c r="G131" s="301" t="s">
        <v>583</v>
      </c>
      <c r="H131" s="315" t="s">
        <v>746</v>
      </c>
    </row>
    <row r="132" ht="26.5" customHeight="1" spans="1:8" x14ac:dyDescent="0.25">
      <c r="A132" s="76">
        <v>45962</v>
      </c>
      <c r="B132" s="299">
        <v>45985</v>
      </c>
      <c r="C132" s="301"/>
      <c r="D132" s="301" t="s">
        <v>700</v>
      </c>
      <c r="E132" s="302">
        <v>123</v>
      </c>
      <c r="F132" s="301"/>
      <c r="G132" s="301" t="s">
        <v>583</v>
      </c>
      <c r="H132" s="315" t="s">
        <v>747</v>
      </c>
    </row>
    <row r="133" ht="26.5" customHeight="1" spans="1:8" x14ac:dyDescent="0.25">
      <c r="A133" s="76">
        <v>45962</v>
      </c>
      <c r="B133" s="299">
        <v>45985</v>
      </c>
      <c r="C133" s="301"/>
      <c r="D133" s="301" t="s">
        <v>748</v>
      </c>
      <c r="E133" s="302">
        <v>250</v>
      </c>
      <c r="F133" s="301"/>
      <c r="G133" s="301" t="s">
        <v>583</v>
      </c>
      <c r="H133" s="315" t="s">
        <v>605</v>
      </c>
    </row>
    <row r="134" ht="26.5" customHeight="1" spans="1:8" x14ac:dyDescent="0.25">
      <c r="A134" s="76">
        <v>45962</v>
      </c>
      <c r="B134" s="299"/>
      <c r="C134" s="301"/>
      <c r="D134" s="301" t="s">
        <v>561</v>
      </c>
      <c r="E134" s="302">
        <f>3.7*2</f>
        <v>7.4</v>
      </c>
      <c r="F134" s="301"/>
      <c r="G134" s="301" t="s">
        <v>583</v>
      </c>
      <c r="H134" s="315" t="s">
        <v>749</v>
      </c>
    </row>
    <row r="135" ht="26.5" customHeight="1" spans="1:8" x14ac:dyDescent="0.25">
      <c r="A135" s="76">
        <v>45962</v>
      </c>
      <c r="B135" s="299"/>
      <c r="C135" s="301"/>
      <c r="D135" s="301" t="s">
        <v>750</v>
      </c>
      <c r="E135" s="302">
        <v>30</v>
      </c>
      <c r="F135" s="301"/>
      <c r="G135" s="301" t="s">
        <v>583</v>
      </c>
      <c r="H135" s="315" t="s">
        <v>751</v>
      </c>
    </row>
    <row r="136" ht="26.5" customHeight="1" spans="1:8" x14ac:dyDescent="0.25">
      <c r="A136" s="76">
        <v>45962</v>
      </c>
      <c r="B136" s="299"/>
      <c r="C136" s="303" t="s">
        <v>585</v>
      </c>
      <c r="D136" s="301" t="s">
        <v>700</v>
      </c>
      <c r="E136" s="302">
        <v>2600</v>
      </c>
      <c r="F136" s="301"/>
      <c r="G136" s="301" t="s">
        <v>583</v>
      </c>
      <c r="H136" s="315" t="s">
        <v>752</v>
      </c>
    </row>
    <row r="137" ht="26.5" customHeight="1" spans="1:8" x14ac:dyDescent="0.25">
      <c r="A137" s="76">
        <v>45962</v>
      </c>
      <c r="B137" s="304"/>
      <c r="C137" s="305"/>
      <c r="D137" s="301" t="s">
        <v>568</v>
      </c>
      <c r="E137" s="302">
        <v>109.98</v>
      </c>
      <c r="F137" s="301"/>
      <c r="G137" s="301" t="s">
        <v>583</v>
      </c>
      <c r="H137" s="315" t="s">
        <v>753</v>
      </c>
    </row>
    <row r="138" ht="26.5" customHeight="1" spans="1:8" x14ac:dyDescent="0.25">
      <c r="A138" s="76">
        <v>45962</v>
      </c>
      <c r="B138" s="304"/>
      <c r="C138" s="305"/>
      <c r="D138" s="301"/>
      <c r="E138" s="302"/>
      <c r="F138" s="301"/>
      <c r="G138" s="301"/>
      <c r="H138" s="307"/>
    </row>
    <row r="139" ht="26.5" customHeight="1" spans="1:8" x14ac:dyDescent="0.25">
      <c r="A139" s="76">
        <v>45962</v>
      </c>
      <c r="B139" s="304"/>
      <c r="C139" s="305"/>
      <c r="D139" s="305"/>
      <c r="E139" s="306"/>
      <c r="F139" s="305"/>
      <c r="G139" s="305"/>
      <c r="H139" s="307"/>
    </row>
    <row r="140" ht="26.5" customHeight="1" spans="1:8" x14ac:dyDescent="0.25">
      <c r="A140" s="76">
        <v>45962</v>
      </c>
      <c r="B140" s="299"/>
      <c r="C140" s="301"/>
      <c r="D140" s="308" t="s">
        <v>596</v>
      </c>
      <c r="E140" s="309">
        <f>SUM(E109:E116,E118:E137)</f>
        <v>4356.5</v>
      </c>
      <c r="F140" s="301"/>
      <c r="G140" s="301"/>
      <c r="H140" s="315"/>
    </row>
    <row r="141" ht="26.5" customHeight="1" spans="1:8" x14ac:dyDescent="0.25">
      <c r="A141" s="80">
        <v>45962</v>
      </c>
      <c r="B141" s="311"/>
      <c r="C141" s="312"/>
      <c r="D141" s="312"/>
      <c r="E141" s="313"/>
      <c r="F141" s="312"/>
      <c r="G141" s="312"/>
      <c r="H141" s="314"/>
    </row>
    <row r="142" ht="26.5" customHeight="1" spans="1:8" x14ac:dyDescent="0.25">
      <c r="A142" s="76">
        <v>45992</v>
      </c>
      <c r="B142" s="299">
        <v>45995</v>
      </c>
      <c r="C142" s="303" t="s">
        <v>585</v>
      </c>
      <c r="D142" s="301" t="s">
        <v>683</v>
      </c>
      <c r="E142" s="302">
        <v>20</v>
      </c>
      <c r="F142" s="301" t="s">
        <v>725</v>
      </c>
      <c r="G142" s="301" t="s">
        <v>583</v>
      </c>
      <c r="H142" s="301" t="s">
        <v>684</v>
      </c>
    </row>
    <row r="143" ht="26.5" customHeight="1" spans="1:8" x14ac:dyDescent="0.25">
      <c r="A143" s="76">
        <v>45992</v>
      </c>
      <c r="B143" s="299">
        <v>45995</v>
      </c>
      <c r="C143" s="303" t="s">
        <v>585</v>
      </c>
      <c r="D143" s="301" t="s">
        <v>683</v>
      </c>
      <c r="E143" s="302">
        <v>70.8</v>
      </c>
      <c r="F143" s="301" t="s">
        <v>725</v>
      </c>
      <c r="G143" s="301" t="s">
        <v>583</v>
      </c>
      <c r="H143" s="301" t="s">
        <v>727</v>
      </c>
    </row>
    <row r="144" ht="26.5" customHeight="1" spans="1:8" x14ac:dyDescent="0.25">
      <c r="A144" s="76">
        <v>45992</v>
      </c>
      <c r="B144" s="299">
        <v>45995</v>
      </c>
      <c r="C144" s="301"/>
      <c r="D144" s="301"/>
      <c r="E144" s="302">
        <v>250</v>
      </c>
      <c r="F144" s="301" t="s">
        <v>725</v>
      </c>
      <c r="G144" s="301" t="s">
        <v>583</v>
      </c>
      <c r="H144" s="315" t="s">
        <v>605</v>
      </c>
    </row>
    <row r="145" ht="26.5" customHeight="1" spans="1:8" x14ac:dyDescent="0.25">
      <c r="A145" s="76">
        <v>45992</v>
      </c>
      <c r="B145" s="299">
        <v>45996</v>
      </c>
      <c r="C145" s="303" t="s">
        <v>585</v>
      </c>
      <c r="D145" s="301"/>
      <c r="E145" s="302">
        <v>8.5</v>
      </c>
      <c r="F145" s="301" t="s">
        <v>725</v>
      </c>
      <c r="G145" s="301" t="s">
        <v>583</v>
      </c>
      <c r="H145" s="315" t="s">
        <v>661</v>
      </c>
    </row>
    <row r="146" ht="26.5" customHeight="1" spans="1:8" x14ac:dyDescent="0.25">
      <c r="A146" s="76">
        <v>45992</v>
      </c>
      <c r="B146" s="299">
        <v>45996</v>
      </c>
      <c r="C146" s="301"/>
      <c r="D146" s="301"/>
      <c r="E146" s="302">
        <v>50</v>
      </c>
      <c r="F146" s="301" t="s">
        <v>725</v>
      </c>
      <c r="G146" s="301" t="s">
        <v>583</v>
      </c>
      <c r="H146" s="315" t="s">
        <v>754</v>
      </c>
    </row>
    <row r="147" ht="26.5" customHeight="1" spans="1:8" x14ac:dyDescent="0.25">
      <c r="A147" s="76">
        <v>45992</v>
      </c>
      <c r="B147" s="299">
        <v>45997</v>
      </c>
      <c r="C147" s="301"/>
      <c r="D147" s="301"/>
      <c r="E147" s="302">
        <v>31.26</v>
      </c>
      <c r="F147" s="301" t="s">
        <v>725</v>
      </c>
      <c r="G147" s="301" t="s">
        <v>583</v>
      </c>
      <c r="H147" s="315" t="s">
        <v>755</v>
      </c>
    </row>
    <row r="148" ht="26.5" customHeight="1" spans="1:8" x14ac:dyDescent="0.25">
      <c r="A148" s="76">
        <v>45992</v>
      </c>
      <c r="B148" s="299">
        <v>45993</v>
      </c>
      <c r="C148" s="305"/>
      <c r="D148" s="305"/>
      <c r="E148" s="302">
        <v>20</v>
      </c>
      <c r="F148" s="301" t="s">
        <v>725</v>
      </c>
      <c r="G148" s="301" t="s">
        <v>583</v>
      </c>
      <c r="H148" s="315" t="s">
        <v>756</v>
      </c>
    </row>
    <row r="149" ht="26.5" customHeight="1" spans="1:8" x14ac:dyDescent="0.25">
      <c r="A149" s="76">
        <v>45992</v>
      </c>
      <c r="B149" s="299"/>
      <c r="C149" s="301"/>
      <c r="D149" s="301"/>
      <c r="E149" s="302">
        <v>38.33</v>
      </c>
      <c r="F149" s="301" t="s">
        <v>725</v>
      </c>
      <c r="G149" s="301" t="s">
        <v>583</v>
      </c>
      <c r="H149" s="315" t="s">
        <v>757</v>
      </c>
    </row>
    <row r="150" ht="26.5" customHeight="1" spans="1:8" x14ac:dyDescent="0.25">
      <c r="A150" s="76">
        <v>45992</v>
      </c>
      <c r="B150" s="299">
        <v>45997</v>
      </c>
      <c r="C150" s="301"/>
      <c r="D150" s="301" t="s">
        <v>700</v>
      </c>
      <c r="E150" s="302">
        <v>8.4</v>
      </c>
      <c r="F150" s="301" t="s">
        <v>725</v>
      </c>
      <c r="G150" s="301" t="s">
        <v>583</v>
      </c>
      <c r="H150" s="315" t="s">
        <v>758</v>
      </c>
    </row>
    <row r="151" ht="26.5" customHeight="1" spans="1:8" x14ac:dyDescent="0.25">
      <c r="A151" s="76">
        <v>45992</v>
      </c>
      <c r="B151" s="299">
        <v>45998</v>
      </c>
      <c r="C151" s="301"/>
      <c r="D151" s="301"/>
      <c r="E151" s="302">
        <v>42</v>
      </c>
      <c r="F151" s="301" t="s">
        <v>725</v>
      </c>
      <c r="G151" s="301" t="s">
        <v>583</v>
      </c>
      <c r="H151" s="315" t="s">
        <v>759</v>
      </c>
    </row>
    <row r="152" ht="26.5" customHeight="1" spans="1:8" x14ac:dyDescent="0.25">
      <c r="A152" s="76">
        <v>45992</v>
      </c>
      <c r="B152" s="299">
        <v>45998</v>
      </c>
      <c r="C152" s="301"/>
      <c r="D152" s="301"/>
      <c r="E152" s="302">
        <v>22.14</v>
      </c>
      <c r="F152" s="301" t="s">
        <v>725</v>
      </c>
      <c r="G152" s="301" t="s">
        <v>583</v>
      </c>
      <c r="H152" s="315" t="s">
        <v>760</v>
      </c>
    </row>
    <row r="153" ht="26.5" customHeight="1" spans="1:8" x14ac:dyDescent="0.25">
      <c r="A153" s="76">
        <v>45992</v>
      </c>
      <c r="B153" s="299">
        <v>45998</v>
      </c>
      <c r="C153" s="301"/>
      <c r="D153" s="301"/>
      <c r="E153" s="302">
        <v>6.26</v>
      </c>
      <c r="F153" s="301" t="s">
        <v>725</v>
      </c>
      <c r="G153" s="301" t="s">
        <v>583</v>
      </c>
      <c r="H153" s="315" t="s">
        <v>760</v>
      </c>
    </row>
    <row r="154" ht="26.5" customHeight="1" spans="1:8" x14ac:dyDescent="0.25">
      <c r="A154" s="76">
        <v>45992</v>
      </c>
      <c r="B154" s="299">
        <v>45998</v>
      </c>
      <c r="C154" s="301"/>
      <c r="D154" s="301"/>
      <c r="E154" s="302">
        <v>348</v>
      </c>
      <c r="F154" s="301" t="s">
        <v>725</v>
      </c>
      <c r="G154" s="301" t="s">
        <v>583</v>
      </c>
      <c r="H154" s="315" t="s">
        <v>761</v>
      </c>
    </row>
    <row r="155" ht="26.5" customHeight="1" spans="1:8" x14ac:dyDescent="0.25">
      <c r="A155" s="76">
        <v>45992</v>
      </c>
      <c r="B155" s="299">
        <v>45998</v>
      </c>
      <c r="C155" s="301"/>
      <c r="D155" s="301"/>
      <c r="E155" s="302">
        <v>260</v>
      </c>
      <c r="F155" s="301" t="s">
        <v>725</v>
      </c>
      <c r="G155" s="301" t="s">
        <v>583</v>
      </c>
      <c r="H155" s="315" t="s">
        <v>730</v>
      </c>
    </row>
    <row r="156" ht="26.5" customHeight="1" spans="1:8" x14ac:dyDescent="0.25">
      <c r="A156" s="76">
        <v>45992</v>
      </c>
      <c r="B156" s="299">
        <v>45998</v>
      </c>
      <c r="C156" s="301"/>
      <c r="D156" s="301"/>
      <c r="E156" s="302">
        <v>14</v>
      </c>
      <c r="F156" s="301" t="s">
        <v>725</v>
      </c>
      <c r="G156" s="301" t="s">
        <v>583</v>
      </c>
      <c r="H156" s="315" t="s">
        <v>762</v>
      </c>
    </row>
    <row r="157" ht="26.5" customHeight="1" spans="1:8" x14ac:dyDescent="0.25">
      <c r="A157" s="76">
        <v>45992</v>
      </c>
      <c r="B157" s="299">
        <v>45998</v>
      </c>
      <c r="C157" s="301"/>
      <c r="D157" s="301"/>
      <c r="E157" s="302">
        <v>600</v>
      </c>
      <c r="F157" s="301" t="s">
        <v>698</v>
      </c>
      <c r="G157" s="301" t="s">
        <v>583</v>
      </c>
      <c r="H157" s="315" t="s">
        <v>763</v>
      </c>
    </row>
    <row r="158" ht="26.5" customHeight="1" spans="1:8" x14ac:dyDescent="0.25">
      <c r="A158" s="76">
        <v>45992</v>
      </c>
      <c r="B158" s="299"/>
      <c r="C158" s="301"/>
      <c r="D158" s="301"/>
      <c r="E158" s="302">
        <v>6.51</v>
      </c>
      <c r="F158" s="301" t="s">
        <v>725</v>
      </c>
      <c r="G158" s="301" t="s">
        <v>583</v>
      </c>
      <c r="H158" s="315" t="s">
        <v>764</v>
      </c>
    </row>
    <row r="159" ht="26.5" customHeight="1" spans="1:8" x14ac:dyDescent="0.25">
      <c r="A159" s="76">
        <v>45992</v>
      </c>
      <c r="B159" s="299"/>
      <c r="C159" s="301"/>
      <c r="D159" s="301"/>
      <c r="E159" s="302">
        <v>18.56</v>
      </c>
      <c r="F159" s="301" t="s">
        <v>725</v>
      </c>
      <c r="G159" s="301" t="s">
        <v>583</v>
      </c>
      <c r="H159" s="315"/>
    </row>
    <row r="160" ht="26.5" customHeight="1" spans="1:8" x14ac:dyDescent="0.25">
      <c r="A160" s="76">
        <v>45992</v>
      </c>
      <c r="B160" s="299">
        <v>46001</v>
      </c>
      <c r="C160" s="301"/>
      <c r="D160" s="301"/>
      <c r="E160" s="302">
        <v>8</v>
      </c>
      <c r="F160" s="301" t="s">
        <v>725</v>
      </c>
      <c r="G160" s="301" t="s">
        <v>583</v>
      </c>
      <c r="H160" s="315" t="s">
        <v>765</v>
      </c>
    </row>
    <row r="161" ht="26.5" customHeight="1" spans="1:8" x14ac:dyDescent="0.25">
      <c r="A161" s="76">
        <v>45992</v>
      </c>
      <c r="B161" s="299">
        <v>46001</v>
      </c>
      <c r="C161" s="301"/>
      <c r="D161" s="301"/>
      <c r="E161" s="302">
        <v>60</v>
      </c>
      <c r="F161" s="301" t="s">
        <v>725</v>
      </c>
      <c r="G161" s="301" t="s">
        <v>583</v>
      </c>
      <c r="H161" s="315" t="s">
        <v>766</v>
      </c>
    </row>
    <row r="162" ht="26.5" customHeight="1" spans="1:8" x14ac:dyDescent="0.25">
      <c r="A162" s="76">
        <v>45992</v>
      </c>
      <c r="B162" s="299">
        <v>46001</v>
      </c>
      <c r="C162" s="303" t="s">
        <v>585</v>
      </c>
      <c r="D162" s="301"/>
      <c r="E162" s="326">
        <v>2500</v>
      </c>
      <c r="F162" s="301" t="s">
        <v>698</v>
      </c>
      <c r="G162" s="301" t="s">
        <v>583</v>
      </c>
      <c r="H162" s="315" t="s">
        <v>695</v>
      </c>
    </row>
    <row r="163" ht="26.5" customHeight="1" spans="1:8" x14ac:dyDescent="0.25">
      <c r="A163" s="76">
        <v>45992</v>
      </c>
      <c r="B163" s="299">
        <v>46001</v>
      </c>
      <c r="C163" s="303"/>
      <c r="D163" s="305"/>
      <c r="E163" s="302">
        <v>600</v>
      </c>
      <c r="F163" s="301" t="s">
        <v>698</v>
      </c>
      <c r="G163" s="301" t="s">
        <v>583</v>
      </c>
      <c r="H163" s="315" t="s">
        <v>767</v>
      </c>
    </row>
    <row r="164" ht="26.5" customHeight="1" spans="1:8" x14ac:dyDescent="0.25">
      <c r="A164" s="76">
        <v>45992</v>
      </c>
      <c r="B164" s="299"/>
      <c r="C164" s="303"/>
      <c r="D164" s="301"/>
      <c r="E164" s="302">
        <v>5.59</v>
      </c>
      <c r="F164" s="301" t="s">
        <v>725</v>
      </c>
      <c r="G164" s="301" t="s">
        <v>583</v>
      </c>
      <c r="H164" s="315" t="s">
        <v>768</v>
      </c>
    </row>
    <row r="165" ht="26.5" customHeight="1" spans="1:8" x14ac:dyDescent="0.25">
      <c r="A165" s="76">
        <v>45992</v>
      </c>
      <c r="B165" s="299"/>
      <c r="C165" s="303"/>
      <c r="D165" s="301"/>
      <c r="E165" s="302">
        <v>8.99</v>
      </c>
      <c r="F165" s="301" t="s">
        <v>725</v>
      </c>
      <c r="G165" s="301" t="s">
        <v>583</v>
      </c>
      <c r="H165" s="315" t="s">
        <v>769</v>
      </c>
    </row>
    <row r="166" ht="26.5" customHeight="1" spans="1:8" x14ac:dyDescent="0.25">
      <c r="A166" s="76">
        <v>45992</v>
      </c>
      <c r="B166" s="299"/>
      <c r="C166" s="303" t="s">
        <v>585</v>
      </c>
      <c r="D166" s="301"/>
      <c r="E166" s="302">
        <v>212.48</v>
      </c>
      <c r="F166" s="301" t="s">
        <v>725</v>
      </c>
      <c r="G166" s="301" t="s">
        <v>583</v>
      </c>
      <c r="H166" s="315" t="s">
        <v>770</v>
      </c>
    </row>
    <row r="167" ht="26.5" customHeight="1" spans="1:8" x14ac:dyDescent="0.25">
      <c r="A167" s="76">
        <v>45992</v>
      </c>
      <c r="B167" s="299"/>
      <c r="C167" s="303" t="s">
        <v>585</v>
      </c>
      <c r="D167" s="301"/>
      <c r="E167" s="302">
        <v>353.87</v>
      </c>
      <c r="F167" s="301" t="s">
        <v>725</v>
      </c>
      <c r="G167" s="301" t="s">
        <v>583</v>
      </c>
      <c r="H167" s="315" t="s">
        <v>771</v>
      </c>
    </row>
    <row r="168" ht="26.5" customHeight="1" spans="1:8" x14ac:dyDescent="0.25">
      <c r="A168" s="76">
        <v>45992</v>
      </c>
      <c r="B168" s="299"/>
      <c r="C168" s="301"/>
      <c r="D168" s="301"/>
      <c r="E168" s="326">
        <v>16.19</v>
      </c>
      <c r="F168" s="301" t="s">
        <v>725</v>
      </c>
      <c r="G168" s="301" t="s">
        <v>583</v>
      </c>
      <c r="H168" s="315" t="s">
        <v>772</v>
      </c>
    </row>
    <row r="169" ht="26.5" customHeight="1" spans="1:8" x14ac:dyDescent="0.25">
      <c r="A169" s="76">
        <v>45992</v>
      </c>
      <c r="B169" s="304"/>
      <c r="C169" s="305"/>
      <c r="D169" s="305"/>
      <c r="E169" s="302">
        <v>2.49</v>
      </c>
      <c r="F169" s="301" t="s">
        <v>725</v>
      </c>
      <c r="G169" s="301" t="s">
        <v>583</v>
      </c>
      <c r="H169" s="315" t="s">
        <v>773</v>
      </c>
    </row>
    <row r="170" ht="26.5" customHeight="1" spans="1:8" x14ac:dyDescent="0.25">
      <c r="A170" s="76">
        <v>45992</v>
      </c>
      <c r="B170" s="317"/>
      <c r="C170" s="301"/>
      <c r="D170" s="301"/>
      <c r="E170" s="302">
        <v>29.6</v>
      </c>
      <c r="F170" s="301" t="s">
        <v>725</v>
      </c>
      <c r="G170" s="301" t="s">
        <v>583</v>
      </c>
      <c r="H170" s="315" t="s">
        <v>774</v>
      </c>
    </row>
    <row r="171" ht="26.5" customHeight="1" spans="1:8" x14ac:dyDescent="0.25">
      <c r="A171" s="76">
        <v>45992</v>
      </c>
      <c r="B171" s="299"/>
      <c r="C171" s="301"/>
      <c r="D171" s="301"/>
      <c r="E171" s="302">
        <v>40</v>
      </c>
      <c r="F171" s="301" t="s">
        <v>698</v>
      </c>
      <c r="G171" s="301" t="s">
        <v>583</v>
      </c>
      <c r="H171" s="315" t="s">
        <v>775</v>
      </c>
    </row>
    <row r="172" ht="26.5" customHeight="1" spans="1:8" x14ac:dyDescent="0.25">
      <c r="A172" s="76">
        <v>45992</v>
      </c>
      <c r="B172" s="317"/>
      <c r="C172" s="301"/>
      <c r="D172" s="301"/>
      <c r="E172" s="327">
        <v>20</v>
      </c>
      <c r="F172" s="301" t="s">
        <v>725</v>
      </c>
      <c r="G172" s="301" t="s">
        <v>583</v>
      </c>
      <c r="H172" s="315" t="s">
        <v>743</v>
      </c>
    </row>
    <row r="173" ht="26.5" customHeight="1" spans="1:8" x14ac:dyDescent="0.25">
      <c r="A173" s="76">
        <v>45992</v>
      </c>
      <c r="B173" s="299"/>
      <c r="C173" s="301"/>
      <c r="D173" s="301"/>
      <c r="E173" s="327">
        <v>1639.36</v>
      </c>
      <c r="F173" s="301" t="s">
        <v>725</v>
      </c>
      <c r="G173" s="301" t="s">
        <v>583</v>
      </c>
      <c r="H173" s="315" t="s">
        <v>776</v>
      </c>
    </row>
    <row r="174" ht="26.5" customHeight="1" spans="1:8" x14ac:dyDescent="0.25">
      <c r="A174" s="76">
        <v>45992</v>
      </c>
      <c r="B174" s="299"/>
      <c r="C174" s="301"/>
      <c r="D174" s="301"/>
      <c r="E174" s="327">
        <v>19.25</v>
      </c>
      <c r="F174" s="301" t="s">
        <v>725</v>
      </c>
      <c r="G174" s="301" t="s">
        <v>583</v>
      </c>
      <c r="H174" s="315" t="s">
        <v>777</v>
      </c>
    </row>
    <row r="175" ht="26.5" customHeight="1" spans="1:8" x14ac:dyDescent="0.25">
      <c r="A175" s="76">
        <v>45992</v>
      </c>
      <c r="B175" s="299"/>
      <c r="C175" s="301"/>
      <c r="D175" s="301"/>
      <c r="E175" s="327">
        <v>6</v>
      </c>
      <c r="F175" s="301" t="s">
        <v>725</v>
      </c>
      <c r="G175" s="301" t="s">
        <v>583</v>
      </c>
      <c r="H175" s="315" t="s">
        <v>778</v>
      </c>
    </row>
    <row r="176" ht="26.5" customHeight="1" spans="1:8" x14ac:dyDescent="0.25">
      <c r="A176" s="76">
        <v>45992</v>
      </c>
      <c r="B176" s="304"/>
      <c r="C176" s="305"/>
      <c r="D176" s="301"/>
      <c r="E176" s="327">
        <v>20</v>
      </c>
      <c r="F176" s="301" t="s">
        <v>725</v>
      </c>
      <c r="G176" s="301" t="s">
        <v>583</v>
      </c>
      <c r="H176" s="315" t="s">
        <v>743</v>
      </c>
    </row>
    <row r="177" ht="26.5" customHeight="1" spans="1:8" x14ac:dyDescent="0.25">
      <c r="A177" s="76">
        <v>45992</v>
      </c>
      <c r="B177" s="299"/>
      <c r="C177" s="301"/>
      <c r="D177" s="301"/>
      <c r="E177" s="327">
        <v>0.3</v>
      </c>
      <c r="F177" s="301" t="s">
        <v>725</v>
      </c>
      <c r="G177" s="301" t="s">
        <v>583</v>
      </c>
      <c r="H177" s="315" t="s">
        <v>779</v>
      </c>
    </row>
    <row r="178" ht="26.5" customHeight="1" spans="1:8" x14ac:dyDescent="0.25">
      <c r="A178" s="76">
        <v>45992</v>
      </c>
      <c r="B178" s="304"/>
      <c r="C178" s="305"/>
      <c r="D178" s="301"/>
      <c r="E178" s="327">
        <v>250</v>
      </c>
      <c r="F178" s="301" t="s">
        <v>725</v>
      </c>
      <c r="G178" s="301" t="s">
        <v>583</v>
      </c>
      <c r="H178" s="315" t="s">
        <v>780</v>
      </c>
    </row>
    <row r="179" ht="26.5" customHeight="1" spans="1:8" x14ac:dyDescent="0.25">
      <c r="A179" s="76">
        <v>45992</v>
      </c>
      <c r="B179" s="304"/>
      <c r="C179" s="305"/>
      <c r="D179" s="301"/>
      <c r="E179" s="327">
        <v>123</v>
      </c>
      <c r="F179" s="301" t="s">
        <v>725</v>
      </c>
      <c r="G179" s="301" t="s">
        <v>583</v>
      </c>
      <c r="H179" s="315" t="s">
        <v>781</v>
      </c>
    </row>
    <row r="180" ht="26.5" customHeight="1" spans="1:8" x14ac:dyDescent="0.25">
      <c r="A180" s="76">
        <v>45992</v>
      </c>
      <c r="B180" s="304"/>
      <c r="C180" s="305"/>
      <c r="D180" s="301"/>
      <c r="E180" s="327">
        <v>9.25</v>
      </c>
      <c r="F180" s="301" t="s">
        <v>725</v>
      </c>
      <c r="G180" s="301" t="s">
        <v>583</v>
      </c>
      <c r="H180" s="315" t="s">
        <v>782</v>
      </c>
    </row>
    <row r="181" ht="26.5" customHeight="1" spans="1:8" x14ac:dyDescent="0.25">
      <c r="A181" s="76">
        <v>45992</v>
      </c>
      <c r="B181" s="304"/>
      <c r="C181" s="305"/>
      <c r="D181" s="301"/>
      <c r="E181" s="327">
        <v>105.81</v>
      </c>
      <c r="F181" s="301" t="s">
        <v>725</v>
      </c>
      <c r="G181" s="301" t="s">
        <v>583</v>
      </c>
      <c r="H181" s="315" t="s">
        <v>783</v>
      </c>
    </row>
    <row r="182" ht="26.5" customHeight="1" spans="1:8" x14ac:dyDescent="0.25">
      <c r="A182" s="76">
        <v>45992</v>
      </c>
      <c r="B182" s="299"/>
      <c r="C182" s="301"/>
      <c r="D182" s="301"/>
      <c r="E182" s="327">
        <v>36.81</v>
      </c>
      <c r="F182" s="301" t="s">
        <v>725</v>
      </c>
      <c r="G182" s="301" t="s">
        <v>583</v>
      </c>
      <c r="H182" s="315" t="s">
        <v>642</v>
      </c>
    </row>
    <row r="183" ht="25" customHeight="1" spans="1:8" x14ac:dyDescent="0.25">
      <c r="A183" s="76">
        <v>45992</v>
      </c>
      <c r="B183" s="299"/>
      <c r="C183" s="301"/>
      <c r="D183" s="301"/>
      <c r="E183" s="327"/>
      <c r="F183" s="301"/>
      <c r="G183" s="301"/>
      <c r="H183" s="315"/>
    </row>
    <row r="184" ht="26.5" customHeight="1" spans="1:8" x14ac:dyDescent="0.25">
      <c r="A184" s="76">
        <v>45992</v>
      </c>
      <c r="B184" s="299"/>
      <c r="C184" s="301"/>
      <c r="D184" s="308" t="s">
        <v>596</v>
      </c>
      <c r="E184" s="309">
        <f>SUM(E142:E182)</f>
        <v>7881.75</v>
      </c>
      <c r="F184" s="301"/>
      <c r="G184" s="301"/>
      <c r="H184" s="315"/>
    </row>
    <row r="185" ht="25" customHeight="1" spans="1:8" x14ac:dyDescent="0.25">
      <c r="A185" s="80">
        <v>45992</v>
      </c>
      <c r="B185" s="311"/>
      <c r="C185" s="312"/>
      <c r="D185" s="312"/>
      <c r="E185" s="313"/>
      <c r="F185" s="312"/>
      <c r="G185" s="312"/>
      <c r="H185" s="314"/>
    </row>
    <row r="186" ht="25" customHeight="1" spans="1:8" x14ac:dyDescent="0.25">
      <c r="A186" s="76">
        <v>46023</v>
      </c>
      <c r="B186" s="299">
        <v>46024</v>
      </c>
      <c r="C186" s="301"/>
      <c r="D186" s="301" t="s">
        <v>700</v>
      </c>
      <c r="E186" s="302">
        <v>4.15</v>
      </c>
      <c r="F186" s="301"/>
      <c r="G186" s="301"/>
      <c r="H186" s="315" t="s">
        <v>784</v>
      </c>
    </row>
    <row r="187" ht="25" customHeight="1" spans="1:8" x14ac:dyDescent="0.25">
      <c r="A187" s="76">
        <v>46023</v>
      </c>
      <c r="B187" s="299">
        <v>46025</v>
      </c>
      <c r="C187" s="301"/>
      <c r="D187" s="301"/>
      <c r="E187" s="302">
        <v>34.15</v>
      </c>
      <c r="F187" s="301"/>
      <c r="G187" s="301"/>
      <c r="H187" s="315" t="s">
        <v>785</v>
      </c>
    </row>
    <row r="188" ht="25" customHeight="1" spans="1:8" x14ac:dyDescent="0.25">
      <c r="A188" s="76">
        <v>46023</v>
      </c>
      <c r="B188" s="299">
        <v>46025</v>
      </c>
      <c r="C188" s="301"/>
      <c r="D188" s="301" t="s">
        <v>700</v>
      </c>
      <c r="E188" s="302">
        <v>20</v>
      </c>
      <c r="F188" s="301"/>
      <c r="G188" s="301"/>
      <c r="H188" s="315" t="s">
        <v>684</v>
      </c>
    </row>
    <row r="189" ht="25" customHeight="1" spans="1:8" x14ac:dyDescent="0.25">
      <c r="A189" s="76">
        <v>46023</v>
      </c>
      <c r="B189" s="299">
        <v>46027</v>
      </c>
      <c r="C189" s="301"/>
      <c r="D189" s="301" t="s">
        <v>700</v>
      </c>
      <c r="E189" s="302">
        <v>260</v>
      </c>
      <c r="F189" s="301"/>
      <c r="G189" s="301"/>
      <c r="H189" s="315" t="s">
        <v>730</v>
      </c>
    </row>
    <row r="190" ht="25" customHeight="1" spans="1:8" x14ac:dyDescent="0.25">
      <c r="A190" s="76">
        <v>46023</v>
      </c>
      <c r="B190" s="299"/>
      <c r="C190" s="301"/>
      <c r="D190" s="301"/>
      <c r="E190" s="302">
        <v>4.45</v>
      </c>
      <c r="F190" s="301"/>
      <c r="G190" s="301"/>
      <c r="H190" s="315" t="s">
        <v>786</v>
      </c>
    </row>
    <row r="191" ht="25" customHeight="1" spans="1:8" x14ac:dyDescent="0.25">
      <c r="A191" s="76">
        <v>46023</v>
      </c>
      <c r="B191" s="299"/>
      <c r="C191" s="301"/>
      <c r="D191" s="301" t="s">
        <v>700</v>
      </c>
      <c r="E191" s="302">
        <v>70.8</v>
      </c>
      <c r="F191" s="301"/>
      <c r="G191" s="301"/>
      <c r="H191" s="315" t="s">
        <v>654</v>
      </c>
    </row>
    <row r="192" ht="25" customHeight="1" spans="1:8" x14ac:dyDescent="0.25">
      <c r="A192" s="76">
        <v>46023</v>
      </c>
      <c r="B192" s="299"/>
      <c r="C192" s="301"/>
      <c r="D192" s="301"/>
      <c r="E192" s="302">
        <v>150</v>
      </c>
      <c r="F192" s="301"/>
      <c r="G192" s="301"/>
      <c r="H192" s="315" t="s">
        <v>787</v>
      </c>
    </row>
    <row r="193" ht="25" customHeight="1" spans="1:8" x14ac:dyDescent="0.25">
      <c r="A193" s="76">
        <v>46023</v>
      </c>
      <c r="B193" s="299"/>
      <c r="C193" s="301"/>
      <c r="D193" s="301" t="s">
        <v>700</v>
      </c>
      <c r="E193" s="302">
        <v>2500</v>
      </c>
      <c r="F193" s="301"/>
      <c r="G193" s="301"/>
      <c r="H193" s="315" t="s">
        <v>695</v>
      </c>
    </row>
    <row r="194" ht="25" customHeight="1" spans="1:8" x14ac:dyDescent="0.25">
      <c r="A194" s="76">
        <v>46023</v>
      </c>
      <c r="B194" s="299"/>
      <c r="C194" s="301"/>
      <c r="D194" s="301"/>
      <c r="E194" s="302">
        <v>32.99</v>
      </c>
      <c r="F194" s="301"/>
      <c r="G194" s="301"/>
      <c r="H194" s="315" t="s">
        <v>788</v>
      </c>
    </row>
    <row r="195" ht="25" customHeight="1" spans="1:8" x14ac:dyDescent="0.25">
      <c r="A195" s="76">
        <v>46023</v>
      </c>
      <c r="B195" s="299"/>
      <c r="C195" s="301"/>
      <c r="D195" s="301"/>
      <c r="E195" s="302">
        <v>80</v>
      </c>
      <c r="F195" s="301"/>
      <c r="G195" s="301"/>
      <c r="H195" s="315" t="s">
        <v>789</v>
      </c>
    </row>
    <row r="196" ht="25" customHeight="1" spans="1:8" x14ac:dyDescent="0.25">
      <c r="A196" s="76">
        <v>46023</v>
      </c>
      <c r="B196" s="299"/>
      <c r="C196" s="301"/>
      <c r="D196" s="301"/>
      <c r="E196" s="302">
        <v>1.5</v>
      </c>
      <c r="F196" s="301"/>
      <c r="G196" s="301"/>
      <c r="H196" s="315" t="s">
        <v>790</v>
      </c>
    </row>
    <row r="197" ht="25" customHeight="1" spans="1:8" x14ac:dyDescent="0.25">
      <c r="A197" s="76">
        <v>46023</v>
      </c>
      <c r="B197" s="299"/>
      <c r="C197" s="301"/>
      <c r="D197" s="301"/>
      <c r="E197" s="302">
        <v>85.04</v>
      </c>
      <c r="F197" s="301"/>
      <c r="G197" s="301"/>
      <c r="H197" s="315" t="s">
        <v>791</v>
      </c>
    </row>
    <row r="198" ht="25" customHeight="1" spans="1:8" x14ac:dyDescent="0.25">
      <c r="A198" s="76">
        <v>46023</v>
      </c>
      <c r="B198" s="299"/>
      <c r="C198" s="301"/>
      <c r="D198" s="301"/>
      <c r="E198" s="328">
        <v>5.56</v>
      </c>
      <c r="F198" s="315"/>
      <c r="G198" s="315"/>
      <c r="H198" s="315" t="s">
        <v>792</v>
      </c>
    </row>
    <row r="199" ht="25" customHeight="1" spans="1:8" x14ac:dyDescent="0.25">
      <c r="A199" s="76">
        <v>46023</v>
      </c>
      <c r="B199" s="299"/>
      <c r="C199" s="301"/>
      <c r="D199" s="301" t="s">
        <v>700</v>
      </c>
      <c r="E199" s="328">
        <f>70.69+10</f>
        <v>80.69</v>
      </c>
      <c r="F199" s="315"/>
      <c r="G199" s="315"/>
      <c r="H199" s="315" t="s">
        <v>793</v>
      </c>
    </row>
    <row r="200" ht="25" customHeight="1" spans="1:8" x14ac:dyDescent="0.25">
      <c r="A200" s="76">
        <v>46023</v>
      </c>
      <c r="B200" s="299"/>
      <c r="C200" s="301"/>
      <c r="D200" s="301" t="s">
        <v>700</v>
      </c>
      <c r="E200" s="328">
        <v>1148.64</v>
      </c>
      <c r="F200" s="315"/>
      <c r="G200" s="315"/>
      <c r="H200" s="315" t="s">
        <v>771</v>
      </c>
    </row>
    <row r="201" ht="25" customHeight="1" spans="1:8" x14ac:dyDescent="0.25">
      <c r="A201" s="76">
        <v>46023</v>
      </c>
      <c r="B201" s="315"/>
      <c r="C201" s="315"/>
      <c r="D201" s="315"/>
      <c r="E201" s="328">
        <v>36.1</v>
      </c>
      <c r="F201" s="315"/>
      <c r="G201" s="315"/>
      <c r="H201" s="315" t="s">
        <v>794</v>
      </c>
    </row>
    <row r="202" ht="25" customHeight="1" spans="1:8" x14ac:dyDescent="0.25">
      <c r="A202" s="76">
        <v>46023</v>
      </c>
      <c r="B202" s="315"/>
      <c r="C202" s="315"/>
      <c r="D202" s="315"/>
      <c r="E202" s="328">
        <v>670.05</v>
      </c>
      <c r="F202" s="315"/>
      <c r="G202" s="315"/>
      <c r="H202" s="301" t="s">
        <v>795</v>
      </c>
    </row>
    <row r="203" ht="25" customHeight="1" spans="1:8" x14ac:dyDescent="0.25">
      <c r="A203" s="76">
        <v>46023</v>
      </c>
      <c r="B203" s="315"/>
      <c r="C203" s="315"/>
      <c r="D203" s="315"/>
      <c r="E203" s="328">
        <v>120</v>
      </c>
      <c r="F203" s="315"/>
      <c r="G203" s="315"/>
      <c r="H203" s="315" t="s">
        <v>796</v>
      </c>
    </row>
    <row r="204" ht="25" customHeight="1" spans="1:8" x14ac:dyDescent="0.25">
      <c r="A204" s="76">
        <v>46023</v>
      </c>
      <c r="B204" s="315"/>
      <c r="C204" s="315"/>
      <c r="D204" s="301" t="s">
        <v>700</v>
      </c>
      <c r="E204" s="328">
        <v>20</v>
      </c>
      <c r="F204" s="315"/>
      <c r="G204" s="315"/>
      <c r="H204" s="315" t="s">
        <v>743</v>
      </c>
    </row>
    <row r="205" ht="25" customHeight="1" spans="1:8" x14ac:dyDescent="0.25">
      <c r="A205" s="76">
        <v>46023</v>
      </c>
      <c r="B205" s="315"/>
      <c r="C205" s="315"/>
      <c r="D205" s="315"/>
      <c r="E205" s="328">
        <v>4.24</v>
      </c>
      <c r="F205" s="315"/>
      <c r="G205" s="315"/>
      <c r="H205" s="315" t="s">
        <v>777</v>
      </c>
    </row>
    <row r="206" ht="25" customHeight="1" spans="1:8" x14ac:dyDescent="0.25">
      <c r="A206" s="76">
        <v>46023</v>
      </c>
      <c r="B206" s="315"/>
      <c r="C206" s="315"/>
      <c r="D206" s="315"/>
      <c r="E206" s="328">
        <v>550</v>
      </c>
      <c r="F206" s="315"/>
      <c r="G206" s="315"/>
      <c r="H206" s="315" t="s">
        <v>797</v>
      </c>
    </row>
    <row r="207" ht="25" customHeight="1" spans="1:8" x14ac:dyDescent="0.25">
      <c r="A207" s="76">
        <v>46023</v>
      </c>
      <c r="B207" s="299"/>
      <c r="C207" s="301"/>
      <c r="D207" s="301"/>
      <c r="E207" s="329">
        <v>123</v>
      </c>
      <c r="F207" s="301"/>
      <c r="G207" s="301"/>
      <c r="H207" s="315" t="s">
        <v>781</v>
      </c>
    </row>
    <row r="208" ht="25" customHeight="1" spans="1:8" x14ac:dyDescent="0.25">
      <c r="A208" s="76">
        <v>46023</v>
      </c>
      <c r="B208" s="299"/>
      <c r="C208" s="301"/>
      <c r="D208" s="301"/>
      <c r="E208" s="329">
        <v>1.5</v>
      </c>
      <c r="F208" s="301"/>
      <c r="G208" s="301"/>
      <c r="H208" s="315" t="s">
        <v>798</v>
      </c>
    </row>
    <row r="209" ht="25" customHeight="1" spans="1:8" x14ac:dyDescent="0.25">
      <c r="A209" s="76">
        <v>46023</v>
      </c>
      <c r="B209" s="299"/>
      <c r="C209" s="301"/>
      <c r="D209" s="301"/>
      <c r="E209" s="329"/>
      <c r="F209" s="301"/>
      <c r="G209" s="301"/>
      <c r="H209" s="315"/>
    </row>
    <row r="210" ht="25" customHeight="1" spans="1:8" x14ac:dyDescent="0.25">
      <c r="A210" s="76">
        <v>46023</v>
      </c>
      <c r="B210" s="299"/>
      <c r="C210" s="301"/>
      <c r="D210" s="301"/>
      <c r="E210" s="329"/>
      <c r="F210" s="301"/>
      <c r="G210" s="301"/>
      <c r="H210" s="315"/>
    </row>
    <row r="211" ht="25" customHeight="1" spans="1:8" x14ac:dyDescent="0.25">
      <c r="A211" s="76">
        <v>46023</v>
      </c>
      <c r="B211" s="299"/>
      <c r="C211" s="301"/>
      <c r="D211" s="308" t="s">
        <v>596</v>
      </c>
      <c r="E211" s="330">
        <f>SUM(E186:E209)</f>
        <v>6002.860000000001</v>
      </c>
      <c r="F211" s="301"/>
      <c r="G211" s="301"/>
      <c r="H211" s="315"/>
    </row>
    <row r="212" ht="25" customHeight="1" spans="1:8" x14ac:dyDescent="0.25">
      <c r="A212" s="80">
        <v>46023</v>
      </c>
      <c r="B212" s="311"/>
      <c r="C212" s="312"/>
      <c r="D212" s="312"/>
      <c r="E212" s="331"/>
      <c r="F212" s="312"/>
      <c r="G212" s="312"/>
      <c r="H212" s="314"/>
    </row>
    <row r="213" ht="25" customHeight="1" spans="1:8" x14ac:dyDescent="0.25">
      <c r="A213" s="76">
        <v>46054</v>
      </c>
      <c r="B213" s="299"/>
      <c r="C213" s="301"/>
      <c r="D213" s="301"/>
      <c r="E213" s="329">
        <v>17.06</v>
      </c>
      <c r="F213" s="301"/>
      <c r="G213" s="301"/>
      <c r="H213" s="315" t="s">
        <v>799</v>
      </c>
    </row>
    <row r="214" ht="25" customHeight="1" spans="1:8" x14ac:dyDescent="0.25">
      <c r="A214" s="76">
        <v>46054</v>
      </c>
      <c r="B214" s="299"/>
      <c r="C214" s="301"/>
      <c r="D214" s="301"/>
      <c r="E214" s="329">
        <v>5.55</v>
      </c>
      <c r="F214" s="301"/>
      <c r="G214" s="301"/>
      <c r="H214" s="315" t="s">
        <v>800</v>
      </c>
    </row>
    <row r="215" ht="25" customHeight="1" spans="1:8" x14ac:dyDescent="0.25">
      <c r="A215" s="76">
        <v>46054</v>
      </c>
      <c r="B215" s="299"/>
      <c r="C215" s="301"/>
      <c r="D215" s="301"/>
      <c r="E215" s="329">
        <v>9.18</v>
      </c>
      <c r="F215" s="301"/>
      <c r="G215" s="301"/>
      <c r="H215" s="315" t="s">
        <v>801</v>
      </c>
    </row>
    <row r="216" ht="25" customHeight="1" spans="1:8" x14ac:dyDescent="0.25">
      <c r="A216" s="76">
        <v>46054</v>
      </c>
      <c r="B216" s="299"/>
      <c r="C216" s="301"/>
      <c r="D216" s="301"/>
      <c r="E216" s="329">
        <v>260</v>
      </c>
      <c r="F216" s="301"/>
      <c r="G216" s="301"/>
      <c r="H216" s="315" t="s">
        <v>730</v>
      </c>
    </row>
    <row r="217" ht="25" customHeight="1" spans="1:8" x14ac:dyDescent="0.25">
      <c r="A217" s="76">
        <v>46054</v>
      </c>
      <c r="B217" s="299"/>
      <c r="C217" s="301"/>
      <c r="D217" s="301"/>
      <c r="E217" s="329">
        <v>10</v>
      </c>
      <c r="F217" s="301"/>
      <c r="G217" s="301"/>
      <c r="H217" s="315" t="s">
        <v>802</v>
      </c>
    </row>
    <row r="218" ht="25" customHeight="1" spans="1:8" x14ac:dyDescent="0.25">
      <c r="A218" s="76">
        <v>46054</v>
      </c>
      <c r="B218" s="299"/>
      <c r="C218" s="301"/>
      <c r="D218" s="301"/>
      <c r="E218" s="329">
        <v>2500</v>
      </c>
      <c r="F218" s="301"/>
      <c r="G218" s="301"/>
      <c r="H218" s="315" t="s">
        <v>695</v>
      </c>
    </row>
    <row r="219" ht="25" customHeight="1" spans="1:8" x14ac:dyDescent="0.25">
      <c r="A219" s="76">
        <v>46054</v>
      </c>
      <c r="B219" s="299"/>
      <c r="C219" s="301"/>
      <c r="D219" s="301"/>
      <c r="E219" s="329">
        <v>18</v>
      </c>
      <c r="F219" s="301"/>
      <c r="G219" s="301"/>
      <c r="H219" s="315" t="s">
        <v>803</v>
      </c>
    </row>
    <row r="220" ht="25" customHeight="1" spans="1:8" x14ac:dyDescent="0.25">
      <c r="A220" s="76">
        <v>46054</v>
      </c>
      <c r="B220" s="299"/>
      <c r="C220" s="301"/>
      <c r="D220" s="301"/>
      <c r="E220" s="329">
        <f>46.99+53.99+55.99</f>
        <v>156.97</v>
      </c>
      <c r="F220" s="301"/>
      <c r="G220" s="301"/>
      <c r="H220" s="315" t="s">
        <v>804</v>
      </c>
    </row>
    <row r="221" ht="25" customHeight="1" spans="1:8" x14ac:dyDescent="0.25">
      <c r="A221" s="76">
        <v>46054</v>
      </c>
      <c r="B221" s="299"/>
      <c r="C221" s="301"/>
      <c r="D221" s="301"/>
      <c r="E221" s="329">
        <v>3.1</v>
      </c>
      <c r="F221" s="301"/>
      <c r="G221" s="301"/>
      <c r="H221" s="315" t="s">
        <v>561</v>
      </c>
    </row>
    <row r="222" ht="25" customHeight="1" spans="1:8" x14ac:dyDescent="0.25">
      <c r="A222" s="76">
        <v>46054</v>
      </c>
      <c r="B222" s="299"/>
      <c r="C222" s="301"/>
      <c r="D222" s="301"/>
      <c r="E222" s="329">
        <v>3.2</v>
      </c>
      <c r="F222" s="301"/>
      <c r="G222" s="301"/>
      <c r="H222" s="315" t="s">
        <v>805</v>
      </c>
    </row>
    <row r="223" ht="25" customHeight="1" spans="1:8" x14ac:dyDescent="0.25">
      <c r="A223" s="76">
        <v>46054</v>
      </c>
      <c r="B223" s="299"/>
      <c r="C223" s="301"/>
      <c r="D223" s="301"/>
      <c r="E223" s="329">
        <v>4.74</v>
      </c>
      <c r="F223" s="301"/>
      <c r="G223" s="301"/>
      <c r="H223" s="315" t="s">
        <v>806</v>
      </c>
    </row>
    <row r="224" ht="25" customHeight="1" spans="1:8" x14ac:dyDescent="0.25">
      <c r="A224" s="76">
        <v>46054</v>
      </c>
      <c r="B224" s="299"/>
      <c r="C224" s="301"/>
      <c r="D224" s="301"/>
      <c r="E224" s="329">
        <v>40</v>
      </c>
      <c r="F224" s="301" t="s">
        <v>807</v>
      </c>
      <c r="G224" s="301"/>
      <c r="H224" s="315" t="s">
        <v>808</v>
      </c>
    </row>
    <row r="225" ht="25" customHeight="1" spans="1:8" x14ac:dyDescent="0.25">
      <c r="A225" s="76">
        <v>46054</v>
      </c>
      <c r="B225" s="299"/>
      <c r="C225" s="301"/>
      <c r="D225" s="301"/>
      <c r="E225" s="329">
        <v>2.2</v>
      </c>
      <c r="F225" s="301"/>
      <c r="G225" s="301"/>
      <c r="H225" s="315" t="s">
        <v>809</v>
      </c>
    </row>
    <row r="226" ht="25" customHeight="1" spans="1:8" x14ac:dyDescent="0.25">
      <c r="A226" s="76">
        <v>46054</v>
      </c>
      <c r="B226" s="299">
        <v>46067</v>
      </c>
      <c r="C226" s="301"/>
      <c r="D226" s="301"/>
      <c r="E226" s="329">
        <v>212.33</v>
      </c>
      <c r="F226" s="301"/>
      <c r="G226" s="301"/>
      <c r="H226" s="315" t="s">
        <v>810</v>
      </c>
    </row>
    <row r="227" ht="25" customHeight="1" spans="1:8" x14ac:dyDescent="0.25">
      <c r="A227" s="76">
        <v>46054</v>
      </c>
      <c r="B227" s="299"/>
      <c r="C227" s="301"/>
      <c r="D227" s="301"/>
      <c r="E227" s="329">
        <v>670.09</v>
      </c>
      <c r="F227" s="301"/>
      <c r="G227" s="301"/>
      <c r="H227" s="315" t="s">
        <v>811</v>
      </c>
    </row>
    <row r="228" ht="25" customHeight="1" spans="1:8" x14ac:dyDescent="0.25">
      <c r="A228" s="76">
        <v>46054</v>
      </c>
      <c r="B228" s="299"/>
      <c r="C228" s="301"/>
      <c r="D228" s="301"/>
      <c r="E228" s="329">
        <v>1891.25</v>
      </c>
      <c r="F228" s="301"/>
      <c r="G228" s="301"/>
      <c r="H228" s="315" t="s">
        <v>771</v>
      </c>
    </row>
    <row r="229" ht="25" customHeight="1" spans="1:8" x14ac:dyDescent="0.25">
      <c r="A229" s="76">
        <v>46054</v>
      </c>
      <c r="B229" s="299"/>
      <c r="C229" s="301"/>
      <c r="D229" s="301"/>
      <c r="E229" s="329">
        <v>10.52</v>
      </c>
      <c r="F229" s="301"/>
      <c r="G229" s="301"/>
      <c r="H229" s="315" t="s">
        <v>812</v>
      </c>
    </row>
    <row r="230" ht="25" customHeight="1" spans="1:8" x14ac:dyDescent="0.25">
      <c r="A230" s="76">
        <v>46054</v>
      </c>
      <c r="B230" s="299"/>
      <c r="C230" s="301"/>
      <c r="D230" s="301"/>
      <c r="E230" s="329">
        <v>9.42</v>
      </c>
      <c r="F230" s="301"/>
      <c r="G230" s="301"/>
      <c r="H230" s="315" t="s">
        <v>812</v>
      </c>
    </row>
    <row r="231" ht="25" customHeight="1" spans="1:8" x14ac:dyDescent="0.25">
      <c r="A231" s="76">
        <v>46054</v>
      </c>
      <c r="B231" s="299"/>
      <c r="C231" s="301"/>
      <c r="D231" s="301"/>
      <c r="E231" s="329">
        <v>18.99</v>
      </c>
      <c r="F231" s="301"/>
      <c r="G231" s="301"/>
      <c r="H231" s="315" t="s">
        <v>813</v>
      </c>
    </row>
    <row r="232" ht="25" customHeight="1" spans="1:8" x14ac:dyDescent="0.25">
      <c r="A232" s="76">
        <v>46054</v>
      </c>
      <c r="B232" s="299"/>
      <c r="C232" s="301"/>
      <c r="D232" s="301"/>
      <c r="E232" s="329">
        <v>18</v>
      </c>
      <c r="F232" s="301"/>
      <c r="G232" s="301"/>
      <c r="H232" s="315" t="s">
        <v>814</v>
      </c>
    </row>
    <row r="233" ht="25" customHeight="1" spans="1:8" x14ac:dyDescent="0.25">
      <c r="A233" s="76">
        <v>46054</v>
      </c>
      <c r="B233" s="299"/>
      <c r="C233" s="301"/>
      <c r="D233" s="301"/>
      <c r="E233" s="329">
        <v>11.39</v>
      </c>
      <c r="F233" s="301"/>
      <c r="G233" s="301"/>
      <c r="H233" s="315" t="s">
        <v>740</v>
      </c>
    </row>
    <row r="234" ht="25" customHeight="1" spans="1:8" x14ac:dyDescent="0.25">
      <c r="A234" s="76">
        <v>46054</v>
      </c>
      <c r="B234" s="299"/>
      <c r="C234" s="301"/>
      <c r="D234" s="301"/>
      <c r="E234" s="329">
        <v>137.98</v>
      </c>
      <c r="F234" s="301"/>
      <c r="G234" s="301"/>
      <c r="H234" s="315" t="s">
        <v>815</v>
      </c>
    </row>
    <row r="235" ht="25" customHeight="1" spans="1:8" x14ac:dyDescent="0.25">
      <c r="A235" s="76">
        <v>46054</v>
      </c>
      <c r="B235" s="304"/>
      <c r="C235" s="305"/>
      <c r="D235" s="305"/>
      <c r="E235" s="329">
        <v>5.98</v>
      </c>
      <c r="F235" s="329"/>
      <c r="G235" s="329"/>
      <c r="H235" s="328" t="s">
        <v>816</v>
      </c>
    </row>
    <row r="236" ht="25" customHeight="1" spans="1:8" x14ac:dyDescent="0.25">
      <c r="A236" s="76">
        <v>46054</v>
      </c>
      <c r="B236" s="304"/>
      <c r="C236" s="305"/>
      <c r="D236" s="305"/>
      <c r="E236" s="329">
        <v>4.25</v>
      </c>
      <c r="F236" s="329"/>
      <c r="G236" s="329"/>
      <c r="H236" s="328" t="s">
        <v>817</v>
      </c>
    </row>
    <row r="237" ht="25" customHeight="1" spans="1:8" x14ac:dyDescent="0.25">
      <c r="A237" s="76">
        <v>46054</v>
      </c>
      <c r="B237" s="304"/>
      <c r="C237" s="305"/>
      <c r="D237" s="305"/>
      <c r="E237" s="329">
        <v>20</v>
      </c>
      <c r="F237" s="329"/>
      <c r="G237" s="329"/>
      <c r="H237" s="328" t="s">
        <v>818</v>
      </c>
    </row>
    <row r="238" ht="25" customHeight="1" spans="1:8" x14ac:dyDescent="0.25">
      <c r="A238" s="76">
        <v>46054</v>
      </c>
      <c r="B238" s="304"/>
      <c r="C238" s="305"/>
      <c r="D238" s="305"/>
      <c r="E238" s="329">
        <v>49.99</v>
      </c>
      <c r="F238" s="329"/>
      <c r="G238" s="329"/>
      <c r="H238" s="328" t="s">
        <v>819</v>
      </c>
    </row>
    <row r="239" ht="25" customHeight="1" spans="1:8" x14ac:dyDescent="0.25">
      <c r="A239" s="76">
        <v>46054</v>
      </c>
      <c r="B239" s="304"/>
      <c r="C239" s="305"/>
      <c r="D239" s="305"/>
      <c r="E239" s="329">
        <f>SUM(70+5+50+49.99+8.39)</f>
        <v>183.38</v>
      </c>
      <c r="F239" s="332"/>
      <c r="G239" s="332"/>
      <c r="H239" s="301" t="s">
        <v>820</v>
      </c>
    </row>
    <row r="240" ht="25" customHeight="1" spans="1:8" x14ac:dyDescent="0.25">
      <c r="A240" s="76">
        <v>46054</v>
      </c>
      <c r="B240" s="304"/>
      <c r="C240" s="301"/>
      <c r="D240" s="301"/>
      <c r="E240" s="329">
        <v>25</v>
      </c>
      <c r="F240" s="329"/>
      <c r="G240" s="329"/>
      <c r="H240" s="315" t="s">
        <v>821</v>
      </c>
    </row>
    <row r="241" ht="25" customHeight="1" spans="1:8" x14ac:dyDescent="0.25">
      <c r="A241" s="76">
        <v>46054</v>
      </c>
      <c r="B241" s="304"/>
      <c r="C241" s="301"/>
      <c r="D241" s="301"/>
      <c r="E241" s="329">
        <v>25.2</v>
      </c>
      <c r="F241" s="329"/>
      <c r="G241" s="329"/>
      <c r="H241" s="328" t="s">
        <v>822</v>
      </c>
    </row>
    <row r="242" ht="25" customHeight="1" spans="1:8" x14ac:dyDescent="0.25">
      <c r="A242" s="76">
        <v>46054</v>
      </c>
      <c r="B242" s="304"/>
      <c r="C242" s="305"/>
      <c r="D242" s="305"/>
      <c r="E242" s="332"/>
      <c r="F242" s="332"/>
      <c r="G242" s="332"/>
      <c r="H242" s="333"/>
    </row>
    <row r="243" ht="25" customHeight="1" spans="1:8" x14ac:dyDescent="0.25">
      <c r="A243" s="76">
        <v>46054</v>
      </c>
      <c r="B243" s="304"/>
      <c r="C243" s="305"/>
      <c r="D243" s="308" t="s">
        <v>596</v>
      </c>
      <c r="E243" s="330">
        <f>SUM(E213:E241)</f>
        <v>6323.769999999999</v>
      </c>
      <c r="F243" s="305"/>
      <c r="G243" s="305"/>
      <c r="H243" s="328"/>
    </row>
    <row r="244" ht="25" customHeight="1" spans="1:8" x14ac:dyDescent="0.25">
      <c r="A244" s="310"/>
      <c r="B244" s="334"/>
      <c r="C244" s="335"/>
      <c r="D244" s="335"/>
      <c r="E244" s="335"/>
      <c r="F244" s="335"/>
      <c r="G244" s="335"/>
      <c r="H244" s="336"/>
    </row>
    <row r="245" ht="25" customHeight="1" spans="1:8" x14ac:dyDescent="0.25">
      <c r="A245" s="199">
        <v>46082</v>
      </c>
      <c r="B245" s="329"/>
      <c r="C245" s="329"/>
      <c r="D245" s="329"/>
      <c r="E245" s="329">
        <v>65</v>
      </c>
      <c r="F245" s="329"/>
      <c r="G245" s="329"/>
      <c r="H245" s="328" t="s">
        <v>823</v>
      </c>
    </row>
    <row r="246" ht="25" customHeight="1" spans="1:8" x14ac:dyDescent="0.25">
      <c r="A246" s="199">
        <v>46082</v>
      </c>
      <c r="B246" s="329"/>
      <c r="C246" s="329"/>
      <c r="D246" s="329"/>
      <c r="E246" s="329">
        <v>6.88</v>
      </c>
      <c r="F246" s="329"/>
      <c r="G246" s="329"/>
      <c r="H246" s="328" t="s">
        <v>629</v>
      </c>
    </row>
    <row r="247" ht="25" customHeight="1" spans="1:8" x14ac:dyDescent="0.25">
      <c r="A247" s="199">
        <v>46082</v>
      </c>
      <c r="B247" s="329"/>
      <c r="C247" s="329"/>
      <c r="D247" s="329"/>
      <c r="E247" s="329">
        <v>70.8</v>
      </c>
      <c r="F247" s="329"/>
      <c r="G247" s="329"/>
      <c r="H247" s="328" t="s">
        <v>654</v>
      </c>
    </row>
    <row r="248" ht="25" customHeight="1" spans="1:8" x14ac:dyDescent="0.25">
      <c r="A248" s="199">
        <v>46082</v>
      </c>
      <c r="B248" s="329"/>
      <c r="C248" s="329"/>
      <c r="D248" s="329"/>
      <c r="E248" s="329">
        <v>20</v>
      </c>
      <c r="F248" s="329"/>
      <c r="G248" s="329"/>
      <c r="H248" s="328" t="s">
        <v>684</v>
      </c>
    </row>
    <row r="249" ht="25" customHeight="1" spans="1:8" x14ac:dyDescent="0.25">
      <c r="A249" s="199">
        <v>46082</v>
      </c>
      <c r="B249" s="329"/>
      <c r="C249" s="329"/>
      <c r="D249" s="329"/>
      <c r="E249" s="329">
        <v>17.06</v>
      </c>
      <c r="F249" s="329"/>
      <c r="G249" s="329"/>
      <c r="H249" s="328" t="s">
        <v>824</v>
      </c>
    </row>
    <row r="250" ht="25" customHeight="1" spans="1:8" x14ac:dyDescent="0.25">
      <c r="A250" s="199">
        <v>46082</v>
      </c>
      <c r="B250" s="329"/>
      <c r="C250" s="329"/>
      <c r="D250" s="329"/>
      <c r="E250" s="329">
        <v>43</v>
      </c>
      <c r="F250" s="329"/>
      <c r="G250" s="329"/>
      <c r="H250" s="328" t="s">
        <v>825</v>
      </c>
    </row>
    <row r="251" ht="25" customHeight="1" spans="1:8" x14ac:dyDescent="0.25">
      <c r="A251" s="199">
        <v>46082</v>
      </c>
      <c r="B251" s="329"/>
      <c r="C251" s="329"/>
      <c r="D251" s="329"/>
      <c r="E251" s="329">
        <v>30</v>
      </c>
      <c r="F251" s="329"/>
      <c r="G251" s="329"/>
      <c r="H251" s="328" t="s">
        <v>826</v>
      </c>
    </row>
    <row r="252" ht="25" customHeight="1" spans="1:8" x14ac:dyDescent="0.25">
      <c r="A252" s="199">
        <v>46082</v>
      </c>
      <c r="B252" s="329"/>
      <c r="C252" s="329"/>
      <c r="D252" s="329"/>
      <c r="E252" s="329">
        <v>2500</v>
      </c>
      <c r="F252" s="329"/>
      <c r="G252" s="329"/>
      <c r="H252" s="328" t="s">
        <v>695</v>
      </c>
    </row>
    <row r="253" ht="25" customHeight="1" spans="1:8" x14ac:dyDescent="0.25">
      <c r="A253" s="199">
        <v>46082</v>
      </c>
      <c r="B253" s="329"/>
      <c r="C253" s="329"/>
      <c r="D253" s="329"/>
      <c r="E253" s="329">
        <v>160</v>
      </c>
      <c r="F253" s="329"/>
      <c r="G253" s="329"/>
      <c r="H253" s="328" t="s">
        <v>827</v>
      </c>
    </row>
    <row r="254" ht="25" customHeight="1" spans="1:8" x14ac:dyDescent="0.25">
      <c r="A254" s="199">
        <v>46082</v>
      </c>
      <c r="B254" s="329"/>
      <c r="C254" s="329"/>
      <c r="D254" s="329"/>
      <c r="E254" s="329">
        <v>90</v>
      </c>
      <c r="F254" s="329"/>
      <c r="G254" s="329"/>
      <c r="H254" s="328" t="s">
        <v>828</v>
      </c>
    </row>
    <row r="255" ht="25" customHeight="1" spans="1:8" x14ac:dyDescent="0.25">
      <c r="A255" s="199">
        <v>46082</v>
      </c>
      <c r="B255" s="329"/>
      <c r="C255" s="329"/>
      <c r="D255" s="329"/>
      <c r="E255" s="329">
        <v>212.33</v>
      </c>
      <c r="F255" s="329"/>
      <c r="G255" s="329"/>
      <c r="H255" s="328" t="s">
        <v>810</v>
      </c>
    </row>
    <row r="256" ht="25" customHeight="1" spans="1:8" x14ac:dyDescent="0.25">
      <c r="A256" s="199">
        <v>46082</v>
      </c>
      <c r="B256" s="329"/>
      <c r="C256" s="329"/>
      <c r="D256" s="329"/>
      <c r="E256" s="329">
        <v>670.05</v>
      </c>
      <c r="F256" s="329"/>
      <c r="G256" s="329"/>
      <c r="H256" s="328" t="s">
        <v>573</v>
      </c>
    </row>
    <row r="257" ht="25" customHeight="1" spans="1:8" x14ac:dyDescent="0.25">
      <c r="A257" s="199">
        <v>46082</v>
      </c>
      <c r="B257" s="329"/>
      <c r="C257" s="329"/>
      <c r="D257" s="329"/>
      <c r="E257" s="329">
        <v>2130.24</v>
      </c>
      <c r="F257" s="329"/>
      <c r="G257" s="329"/>
      <c r="H257" s="328" t="s">
        <v>771</v>
      </c>
    </row>
    <row r="258" ht="25" customHeight="1" spans="1:8" x14ac:dyDescent="0.25">
      <c r="A258" s="199">
        <v>46082</v>
      </c>
      <c r="B258" s="329"/>
      <c r="C258" s="329"/>
      <c r="D258" s="329"/>
      <c r="E258" s="329">
        <v>20</v>
      </c>
      <c r="F258" s="329"/>
      <c r="G258" s="329"/>
      <c r="H258" s="328" t="s">
        <v>743</v>
      </c>
    </row>
    <row r="259" ht="25" customHeight="1" spans="1:8" x14ac:dyDescent="0.25">
      <c r="A259" s="199">
        <v>46082</v>
      </c>
      <c r="B259" s="329"/>
      <c r="C259" s="329"/>
      <c r="D259" s="329"/>
      <c r="E259" s="329">
        <v>20</v>
      </c>
      <c r="F259" s="329"/>
      <c r="G259" s="329"/>
      <c r="H259" s="328" t="s">
        <v>829</v>
      </c>
    </row>
    <row r="260" ht="25" customHeight="1" spans="1:8" x14ac:dyDescent="0.25">
      <c r="A260" s="199">
        <v>46082</v>
      </c>
      <c r="B260" s="329"/>
      <c r="C260" s="329"/>
      <c r="D260" s="329"/>
      <c r="E260" s="329">
        <v>4.25</v>
      </c>
      <c r="F260" s="329"/>
      <c r="G260" s="329"/>
      <c r="H260" s="328" t="s">
        <v>777</v>
      </c>
    </row>
    <row r="261" ht="25" customHeight="1" spans="1:8" x14ac:dyDescent="0.25">
      <c r="A261" s="199">
        <v>46082</v>
      </c>
      <c r="B261" s="329"/>
      <c r="C261" s="329"/>
      <c r="D261" s="329"/>
      <c r="E261" s="329">
        <v>8.99</v>
      </c>
      <c r="F261" s="329"/>
      <c r="G261" s="329"/>
      <c r="H261" s="328" t="s">
        <v>830</v>
      </c>
    </row>
    <row r="262" ht="25" customHeight="1" spans="1:8" x14ac:dyDescent="0.25">
      <c r="A262" s="199">
        <v>46082</v>
      </c>
      <c r="B262" s="304"/>
      <c r="C262" s="332"/>
      <c r="D262" s="332"/>
      <c r="E262" s="332"/>
      <c r="F262" s="332"/>
      <c r="G262" s="332"/>
      <c r="H262" s="333"/>
    </row>
    <row r="263" ht="25" customHeight="1" spans="1:8" x14ac:dyDescent="0.25">
      <c r="A263" s="199">
        <v>46082</v>
      </c>
      <c r="B263" s="304"/>
      <c r="C263" s="332"/>
      <c r="D263" s="332"/>
      <c r="E263" s="332"/>
      <c r="F263" s="332"/>
      <c r="G263" s="332"/>
      <c r="H263" s="333"/>
    </row>
    <row r="264" ht="25" customHeight="1" spans="1:8" x14ac:dyDescent="0.25">
      <c r="A264" s="199">
        <v>46082</v>
      </c>
      <c r="B264" s="329"/>
      <c r="C264" s="329"/>
      <c r="D264" s="329"/>
      <c r="E264" s="329"/>
      <c r="F264" s="329"/>
      <c r="G264" s="329"/>
      <c r="H264" s="328"/>
    </row>
    <row r="265" ht="25" customHeight="1" spans="1:8" x14ac:dyDescent="0.25">
      <c r="A265" s="199">
        <v>46082</v>
      </c>
      <c r="B265" s="329"/>
      <c r="C265" s="329"/>
      <c r="D265" s="337" t="s">
        <v>596</v>
      </c>
      <c r="E265" s="337">
        <f>SUM(E245:E264)</f>
        <v>6068.599999999999</v>
      </c>
      <c r="F265" s="329"/>
      <c r="G265" s="329"/>
      <c r="H265" s="328"/>
    </row>
    <row r="266" ht="25" customHeight="1" spans="1:8" x14ac:dyDescent="0.25">
      <c r="A266" s="210">
        <v>46082</v>
      </c>
      <c r="B266" s="331"/>
      <c r="C266" s="331"/>
      <c r="D266" s="331"/>
      <c r="E266" s="331"/>
      <c r="F266" s="331"/>
      <c r="G266" s="331"/>
      <c r="H266" s="336"/>
    </row>
    <row r="267" ht="25" customHeight="1" spans="1:8" x14ac:dyDescent="0.25">
      <c r="A267" s="199">
        <v>46113</v>
      </c>
      <c r="B267" s="329"/>
      <c r="C267" s="329"/>
      <c r="D267" s="329"/>
      <c r="E267" s="329">
        <v>17.06</v>
      </c>
      <c r="F267" s="329"/>
      <c r="G267" s="329"/>
      <c r="H267" s="328" t="s">
        <v>824</v>
      </c>
    </row>
    <row r="268" ht="25" customHeight="1" spans="1:8" x14ac:dyDescent="0.25">
      <c r="A268" s="199">
        <v>46113</v>
      </c>
      <c r="B268" s="329"/>
      <c r="C268" s="329"/>
      <c r="D268" s="329"/>
      <c r="E268" s="329">
        <v>20</v>
      </c>
      <c r="F268" s="329"/>
      <c r="G268" s="329"/>
      <c r="H268" s="328" t="s">
        <v>831</v>
      </c>
    </row>
    <row r="269" ht="25" customHeight="1" spans="1:8" x14ac:dyDescent="0.25">
      <c r="A269" s="199">
        <v>46113</v>
      </c>
      <c r="B269" s="329"/>
      <c r="C269" s="329"/>
      <c r="D269" s="329"/>
      <c r="E269" s="329">
        <v>20</v>
      </c>
      <c r="F269" s="329"/>
      <c r="G269" s="329"/>
      <c r="H269" s="328" t="s">
        <v>684</v>
      </c>
    </row>
    <row r="270" ht="25" customHeight="1" spans="1:8" x14ac:dyDescent="0.25">
      <c r="A270" s="199">
        <v>46113</v>
      </c>
      <c r="B270" s="329"/>
      <c r="C270" s="329"/>
      <c r="D270" s="329"/>
      <c r="E270" s="329">
        <v>20</v>
      </c>
      <c r="F270" s="329"/>
      <c r="G270" s="329"/>
      <c r="H270" s="328" t="s">
        <v>832</v>
      </c>
    </row>
    <row r="271" ht="25" customHeight="1" spans="1:8" x14ac:dyDescent="0.25">
      <c r="A271" s="199">
        <v>46113</v>
      </c>
      <c r="B271" s="329"/>
      <c r="C271" s="329"/>
      <c r="D271" s="329"/>
      <c r="E271" s="329">
        <v>40</v>
      </c>
      <c r="F271" s="329"/>
      <c r="G271" s="329"/>
      <c r="H271" s="328" t="s">
        <v>833</v>
      </c>
    </row>
    <row r="272" ht="25" customHeight="1" spans="1:8" x14ac:dyDescent="0.25">
      <c r="A272" s="199">
        <v>46113</v>
      </c>
      <c r="B272" s="329"/>
      <c r="C272" s="329"/>
      <c r="D272" s="329"/>
      <c r="E272" s="329">
        <v>2500</v>
      </c>
      <c r="F272" s="329"/>
      <c r="G272" s="329"/>
      <c r="H272" s="328" t="s">
        <v>834</v>
      </c>
    </row>
    <row r="273" ht="25" customHeight="1" spans="1:8" x14ac:dyDescent="0.25">
      <c r="A273" s="199">
        <v>46113</v>
      </c>
      <c r="B273" s="329"/>
      <c r="C273" s="329"/>
      <c r="D273" s="329"/>
      <c r="E273" s="329">
        <v>70.8</v>
      </c>
      <c r="F273" s="329"/>
      <c r="G273" s="329"/>
      <c r="H273" s="328" t="s">
        <v>654</v>
      </c>
    </row>
    <row r="274" ht="25" customHeight="1" spans="1:8" x14ac:dyDescent="0.25">
      <c r="A274" s="199">
        <v>46113</v>
      </c>
      <c r="B274" s="329"/>
      <c r="C274" s="329"/>
      <c r="D274" s="329"/>
      <c r="E274" s="329">
        <v>260</v>
      </c>
      <c r="F274" s="329"/>
      <c r="G274" s="329"/>
      <c r="H274" s="328" t="s">
        <v>835</v>
      </c>
    </row>
    <row r="275" ht="25" customHeight="1" spans="1:8" x14ac:dyDescent="0.25">
      <c r="A275" s="199">
        <v>46113</v>
      </c>
      <c r="B275" s="329"/>
      <c r="C275" s="329"/>
      <c r="D275" s="329"/>
      <c r="E275" s="329"/>
      <c r="F275" s="329"/>
      <c r="G275" s="329"/>
      <c r="H275" s="328"/>
    </row>
    <row r="276" ht="25" customHeight="1" spans="1:8" x14ac:dyDescent="0.25">
      <c r="A276" s="199">
        <v>46113</v>
      </c>
      <c r="B276" s="329"/>
      <c r="C276" s="329"/>
      <c r="D276" s="329"/>
      <c r="E276" s="329"/>
      <c r="F276" s="329"/>
      <c r="G276" s="329"/>
      <c r="H276" s="328"/>
    </row>
    <row r="277" ht="25" customHeight="1" spans="1:8" x14ac:dyDescent="0.25">
      <c r="A277" s="199">
        <v>46113</v>
      </c>
      <c r="B277" s="329"/>
      <c r="C277" s="329"/>
      <c r="D277" s="329"/>
      <c r="E277" s="329"/>
      <c r="F277" s="329"/>
      <c r="G277" s="329"/>
      <c r="H277" s="328"/>
    </row>
    <row r="278" ht="25" customHeight="1" spans="1:8" x14ac:dyDescent="0.25">
      <c r="A278" s="199">
        <v>46113</v>
      </c>
      <c r="B278" s="329"/>
      <c r="C278" s="329"/>
      <c r="D278" s="329"/>
      <c r="E278" s="329"/>
      <c r="F278" s="329"/>
      <c r="G278" s="329"/>
      <c r="H278" s="328"/>
    </row>
    <row r="279" ht="25" customHeight="1" spans="1:8" x14ac:dyDescent="0.25">
      <c r="A279" s="199">
        <v>46113</v>
      </c>
      <c r="B279" s="329"/>
      <c r="C279" s="329"/>
      <c r="D279" s="329"/>
      <c r="E279" s="329"/>
      <c r="F279" s="329"/>
      <c r="G279" s="329"/>
      <c r="H279" s="328"/>
    </row>
    <row r="280" ht="25" customHeight="1" spans="1:8" x14ac:dyDescent="0.25">
      <c r="A280" s="199">
        <v>46113</v>
      </c>
      <c r="B280" s="329"/>
      <c r="C280" s="329"/>
      <c r="D280" s="329"/>
      <c r="E280" s="329"/>
      <c r="F280" s="329"/>
      <c r="G280" s="329"/>
      <c r="H280" s="328"/>
    </row>
    <row r="281" ht="25" customHeight="1" spans="1:8" x14ac:dyDescent="0.25">
      <c r="A281" s="199">
        <v>46113</v>
      </c>
      <c r="B281" s="329"/>
      <c r="C281" s="329"/>
      <c r="D281" s="329"/>
      <c r="E281" s="329"/>
      <c r="F281" s="329"/>
      <c r="G281" s="329"/>
      <c r="H281" s="328"/>
    </row>
    <row r="282" ht="25" customHeight="1" spans="1:8" x14ac:dyDescent="0.25">
      <c r="A282" s="199">
        <v>46113</v>
      </c>
      <c r="B282" s="329"/>
      <c r="C282" s="329"/>
      <c r="D282" s="329"/>
      <c r="E282" s="329"/>
      <c r="F282" s="329"/>
      <c r="G282" s="329"/>
      <c r="H282" s="328"/>
    </row>
    <row r="283" ht="25" customHeight="1" spans="1:8" x14ac:dyDescent="0.25">
      <c r="A283" s="199">
        <v>46113</v>
      </c>
      <c r="B283" s="329"/>
      <c r="C283" s="329"/>
      <c r="D283" s="329"/>
      <c r="E283" s="329"/>
      <c r="F283" s="329"/>
      <c r="G283" s="329"/>
      <c r="H283" s="328"/>
    </row>
    <row r="284" ht="25" customHeight="1" spans="1:8" x14ac:dyDescent="0.25">
      <c r="A284" s="199">
        <v>46113</v>
      </c>
      <c r="B284" s="329"/>
      <c r="C284" s="329"/>
      <c r="D284" s="329"/>
      <c r="E284" s="329"/>
      <c r="F284" s="329"/>
      <c r="G284" s="329"/>
      <c r="H284" s="328"/>
    </row>
    <row r="285" ht="25" customHeight="1" spans="1:8" x14ac:dyDescent="0.25">
      <c r="A285" s="199">
        <v>46113</v>
      </c>
      <c r="B285" s="329"/>
      <c r="C285" s="329"/>
      <c r="D285" s="329"/>
      <c r="E285" s="329"/>
      <c r="F285" s="329"/>
      <c r="G285" s="329"/>
      <c r="H285" s="328"/>
    </row>
    <row r="286" ht="25" customHeight="1" spans="1:8" x14ac:dyDescent="0.25">
      <c r="A286" s="199">
        <v>46113</v>
      </c>
      <c r="B286" s="329"/>
      <c r="C286" s="329"/>
      <c r="D286" s="329"/>
      <c r="E286" s="329"/>
      <c r="F286" s="329"/>
      <c r="G286" s="329"/>
      <c r="H286" s="328"/>
    </row>
    <row r="287" ht="25" customHeight="1" spans="1:8" x14ac:dyDescent="0.25">
      <c r="A287" s="199">
        <v>46113</v>
      </c>
      <c r="B287" s="329"/>
      <c r="C287" s="329"/>
      <c r="D287" s="329"/>
      <c r="E287" s="329"/>
      <c r="F287" s="329"/>
      <c r="G287" s="329"/>
      <c r="H287" s="328"/>
    </row>
    <row r="288" ht="25" customHeight="1" spans="1:8" x14ac:dyDescent="0.25">
      <c r="A288" s="199">
        <v>46113</v>
      </c>
      <c r="B288" s="329"/>
      <c r="C288" s="329"/>
      <c r="D288" s="329"/>
      <c r="E288" s="329"/>
      <c r="F288" s="329"/>
      <c r="G288" s="329"/>
      <c r="H288" s="328"/>
    </row>
    <row r="289" ht="25" customHeight="1" spans="1:8" x14ac:dyDescent="0.25">
      <c r="A289" s="199">
        <v>46113</v>
      </c>
      <c r="B289" s="329"/>
      <c r="C289" s="329"/>
      <c r="D289" s="329"/>
      <c r="E289" s="329"/>
      <c r="F289" s="329"/>
      <c r="G289" s="329"/>
      <c r="H289" s="328"/>
    </row>
    <row r="290" ht="25" customHeight="1" spans="1:8" x14ac:dyDescent="0.25">
      <c r="A290" s="199">
        <v>46113</v>
      </c>
      <c r="B290" s="329"/>
      <c r="C290" s="329"/>
      <c r="D290" s="329"/>
      <c r="E290" s="329"/>
      <c r="F290" s="329"/>
      <c r="G290" s="329"/>
      <c r="H290" s="328"/>
    </row>
    <row r="291" ht="25" customHeight="1" spans="1:8" x14ac:dyDescent="0.25">
      <c r="A291" s="199">
        <v>46113</v>
      </c>
      <c r="B291" s="329"/>
      <c r="C291" s="329"/>
      <c r="D291" s="329"/>
      <c r="E291" s="329"/>
      <c r="F291" s="329"/>
      <c r="G291" s="329"/>
      <c r="H291" s="328"/>
    </row>
    <row r="292" ht="25" customHeight="1" spans="1:8" x14ac:dyDescent="0.25">
      <c r="A292" s="199">
        <v>46113</v>
      </c>
      <c r="B292" s="329"/>
      <c r="C292" s="329"/>
      <c r="D292" s="329"/>
      <c r="E292" s="329"/>
      <c r="F292" s="329"/>
      <c r="G292" s="329"/>
      <c r="H292" s="328"/>
    </row>
    <row r="293" ht="25" customHeight="1" spans="1:8" x14ac:dyDescent="0.25">
      <c r="A293" s="199">
        <v>46113</v>
      </c>
      <c r="B293" s="329"/>
      <c r="C293" s="329"/>
      <c r="D293" s="329"/>
      <c r="E293" s="329"/>
      <c r="F293" s="329"/>
      <c r="G293" s="329"/>
      <c r="H293" s="328"/>
    </row>
    <row r="294" ht="25" customHeight="1" spans="1:8" x14ac:dyDescent="0.25">
      <c r="A294" s="199">
        <v>46113</v>
      </c>
      <c r="B294" s="329"/>
      <c r="C294" s="329"/>
      <c r="D294" s="329"/>
      <c r="E294" s="329"/>
      <c r="F294" s="329"/>
      <c r="G294" s="329"/>
      <c r="H294" s="328"/>
    </row>
    <row r="295" ht="25" customHeight="1" spans="1:8" x14ac:dyDescent="0.25">
      <c r="A295" s="199">
        <v>46113</v>
      </c>
      <c r="B295" s="329"/>
      <c r="C295" s="329"/>
      <c r="D295" s="337" t="s">
        <v>596</v>
      </c>
      <c r="E295" s="337">
        <f>SUM(E267:E294)</f>
        <v>2947.86</v>
      </c>
      <c r="F295" s="329"/>
      <c r="G295" s="329"/>
      <c r="H295" s="328"/>
    </row>
    <row r="296" ht="25" customHeight="1" spans="1:8" x14ac:dyDescent="0.25">
      <c r="A296" s="310"/>
      <c r="B296" s="331"/>
      <c r="C296" s="331"/>
      <c r="D296" s="331"/>
      <c r="E296" s="331"/>
      <c r="F296" s="331"/>
      <c r="G296" s="331"/>
      <c r="H296" s="336"/>
    </row>
    <row r="297" ht="25" customHeight="1" spans="1:8" x14ac:dyDescent="0.25">
      <c r="A297" s="338"/>
      <c r="B297" s="329"/>
      <c r="C297" s="329"/>
      <c r="D297" s="329"/>
      <c r="E297" s="329"/>
      <c r="F297" s="329"/>
      <c r="G297" s="329"/>
      <c r="H297" s="328"/>
    </row>
    <row r="298" ht="25" customHeight="1" spans="1:8" x14ac:dyDescent="0.25">
      <c r="A298" s="338"/>
      <c r="B298" s="329"/>
      <c r="C298" s="329"/>
      <c r="D298" s="329"/>
      <c r="E298" s="329"/>
      <c r="F298" s="329"/>
      <c r="G298" s="329"/>
      <c r="H298" s="328"/>
    </row>
    <row r="299" ht="25" customHeight="1" spans="1:8" x14ac:dyDescent="0.25">
      <c r="A299" s="338"/>
      <c r="B299" s="329"/>
      <c r="C299" s="329"/>
      <c r="D299" s="329"/>
      <c r="E299" s="329"/>
      <c r="F299" s="329"/>
      <c r="G299" s="329"/>
      <c r="H299" s="328"/>
    </row>
    <row r="300" ht="25" customHeight="1" spans="1:8" x14ac:dyDescent="0.25">
      <c r="A300" s="338"/>
      <c r="B300" s="329"/>
      <c r="C300" s="329"/>
      <c r="D300" s="329"/>
      <c r="E300" s="329"/>
      <c r="F300" s="329"/>
      <c r="G300" s="329"/>
      <c r="H300" s="328"/>
    </row>
    <row r="301" ht="25" customHeight="1" spans="1:8" x14ac:dyDescent="0.25">
      <c r="A301" s="338"/>
      <c r="B301" s="329"/>
      <c r="C301" s="329"/>
      <c r="D301" s="329"/>
      <c r="E301" s="329"/>
      <c r="F301" s="329"/>
      <c r="G301" s="329"/>
      <c r="H301" s="328"/>
    </row>
    <row r="302" ht="25" customHeight="1" spans="1:8" x14ac:dyDescent="0.25">
      <c r="A302" s="338"/>
      <c r="B302" s="329"/>
      <c r="C302" s="329"/>
      <c r="D302" s="329"/>
      <c r="E302" s="329"/>
      <c r="F302" s="329"/>
      <c r="G302" s="329"/>
      <c r="H302" s="328"/>
    </row>
    <row r="303" ht="25" customHeight="1" spans="1:8" x14ac:dyDescent="0.25">
      <c r="A303" s="338"/>
      <c r="B303" s="329"/>
      <c r="C303" s="329"/>
      <c r="D303" s="329"/>
      <c r="E303" s="329"/>
      <c r="F303" s="329"/>
      <c r="G303" s="329"/>
      <c r="H303" s="328"/>
    </row>
    <row r="304" ht="25" customHeight="1" spans="1:8" x14ac:dyDescent="0.25">
      <c r="A304" s="338"/>
      <c r="B304" s="329"/>
      <c r="C304" s="329"/>
      <c r="D304" s="329"/>
      <c r="E304" s="329"/>
      <c r="F304" s="329"/>
      <c r="G304" s="329"/>
      <c r="H304" s="328"/>
    </row>
    <row r="305" ht="25" customHeight="1" spans="1:8" x14ac:dyDescent="0.25">
      <c r="A305" s="338"/>
      <c r="B305" s="329"/>
      <c r="C305" s="329"/>
      <c r="D305" s="329"/>
      <c r="E305" s="329"/>
      <c r="F305" s="329"/>
      <c r="G305" s="329"/>
      <c r="H305" s="328"/>
    </row>
    <row r="306" ht="25" customHeight="1" spans="1:8" x14ac:dyDescent="0.25">
      <c r="A306" s="338"/>
      <c r="B306" s="329"/>
      <c r="C306" s="329"/>
      <c r="D306" s="329"/>
      <c r="E306" s="329"/>
      <c r="F306" s="329"/>
      <c r="G306" s="329"/>
      <c r="H306" s="328"/>
    </row>
    <row r="307" ht="25" customHeight="1" x14ac:dyDescent="0.25"/>
    <row r="308" ht="25" customHeight="1" x14ac:dyDescent="0.25"/>
    <row r="309" ht="25" customHeight="1" x14ac:dyDescent="0.25"/>
    <row r="310" ht="25" customHeight="1" x14ac:dyDescent="0.25"/>
    <row r="311" ht="25" customHeight="1" x14ac:dyDescent="0.25"/>
    <row r="312" ht="25" customHeight="1" x14ac:dyDescent="0.25"/>
    <row r="313" ht="25" customHeight="1" x14ac:dyDescent="0.25"/>
    <row r="314" ht="25" customHeight="1" x14ac:dyDescent="0.25"/>
    <row r="315" ht="25" customHeight="1" x14ac:dyDescent="0.25"/>
    <row r="316" ht="25" customHeight="1" x14ac:dyDescent="0.25"/>
    <row r="317" ht="25" customHeight="1" x14ac:dyDescent="0.25"/>
    <row r="318" ht="25" customHeight="1" x14ac:dyDescent="0.25"/>
    <row r="319" ht="25" customHeight="1" x14ac:dyDescent="0.25"/>
    <row r="320" ht="25" customHeight="1" x14ac:dyDescent="0.25"/>
    <row r="321" ht="25" customHeight="1" x14ac:dyDescent="0.25"/>
    <row r="322" ht="25" customHeight="1" x14ac:dyDescent="0.25"/>
    <row r="323" ht="25" customHeight="1" x14ac:dyDescent="0.25"/>
    <row r="324" ht="25" customHeight="1" x14ac:dyDescent="0.25"/>
    <row r="325" ht="25" customHeight="1" x14ac:dyDescent="0.25"/>
    <row r="326" ht="25" customHeight="1" x14ac:dyDescent="0.25"/>
    <row r="327" ht="25" customHeight="1" x14ac:dyDescent="0.25"/>
    <row r="328" ht="25" customHeight="1" x14ac:dyDescent="0.25"/>
    <row r="329" ht="25" customHeight="1" x14ac:dyDescent="0.25"/>
    <row r="330" ht="25" customHeight="1" x14ac:dyDescent="0.25"/>
    <row r="331" ht="25" customHeight="1" x14ac:dyDescent="0.25"/>
    <row r="332" ht="25" customHeight="1" x14ac:dyDescent="0.25"/>
    <row r="333" ht="25" customHeight="1" x14ac:dyDescent="0.25"/>
    <row r="334" ht="25" customHeight="1" x14ac:dyDescent="0.25"/>
    <row r="335" ht="25" customHeight="1" x14ac:dyDescent="0.25"/>
    <row r="336" ht="25" customHeight="1" x14ac:dyDescent="0.25"/>
    <row r="337" ht="25" customHeight="1" x14ac:dyDescent="0.25"/>
    <row r="338" ht="25" customHeight="1" x14ac:dyDescent="0.25"/>
    <row r="339" ht="25" customHeight="1" x14ac:dyDescent="0.25"/>
    <row r="340" ht="25" customHeight="1" x14ac:dyDescent="0.25"/>
    <row r="341" ht="25" customHeight="1" x14ac:dyDescent="0.25"/>
    <row r="342" ht="25" customHeight="1" x14ac:dyDescent="0.25"/>
    <row r="343" ht="25" customHeight="1" x14ac:dyDescent="0.25"/>
    <row r="344" ht="25" customHeight="1" x14ac:dyDescent="0.25"/>
    <row r="345" ht="25" customHeight="1" x14ac:dyDescent="0.25"/>
    <row r="346" ht="25" customHeight="1" x14ac:dyDescent="0.25"/>
    <row r="347" ht="25" customHeight="1" x14ac:dyDescent="0.25"/>
    <row r="348" ht="25" customHeight="1" x14ac:dyDescent="0.25"/>
    <row r="349" ht="25" customHeight="1" x14ac:dyDescent="0.25"/>
    <row r="350" ht="25" customHeight="1" x14ac:dyDescent="0.25"/>
    <row r="351" ht="25" customHeight="1" x14ac:dyDescent="0.25"/>
    <row r="352" ht="25" customHeight="1" x14ac:dyDescent="0.25"/>
    <row r="353" ht="25" customHeight="1" x14ac:dyDescent="0.25"/>
    <row r="354" ht="25" customHeight="1" x14ac:dyDescent="0.25"/>
    <row r="355" ht="25" customHeight="1" x14ac:dyDescent="0.25"/>
    <row r="356" ht="25" customHeight="1" x14ac:dyDescent="0.25"/>
    <row r="357" ht="25" customHeight="1" x14ac:dyDescent="0.25"/>
    <row r="358" ht="25" customHeight="1" x14ac:dyDescent="0.25"/>
    <row r="359" ht="25" customHeight="1" x14ac:dyDescent="0.25"/>
    <row r="360" ht="25" customHeight="1" x14ac:dyDescent="0.25"/>
    <row r="361" ht="25" customHeight="1" x14ac:dyDescent="0.25"/>
    <row r="362" ht="25" customHeight="1" x14ac:dyDescent="0.25"/>
    <row r="363" ht="25" customHeight="1" x14ac:dyDescent="0.25"/>
    <row r="364" ht="25" customHeight="1" x14ac:dyDescent="0.25"/>
    <row r="365" ht="25" customHeight="1" x14ac:dyDescent="0.25"/>
    <row r="366" ht="25" customHeight="1" x14ac:dyDescent="0.25"/>
    <row r="367" ht="25" customHeight="1" x14ac:dyDescent="0.25"/>
    <row r="368" ht="25" customHeight="1" x14ac:dyDescent="0.25"/>
    <row r="369" ht="25" customHeight="1" x14ac:dyDescent="0.25"/>
    <row r="370" ht="25" customHeight="1" x14ac:dyDescent="0.25"/>
    <row r="371" ht="25" customHeight="1" x14ac:dyDescent="0.25"/>
    <row r="372" ht="25" customHeight="1" x14ac:dyDescent="0.25"/>
    <row r="373" ht="25" customHeight="1" x14ac:dyDescent="0.25"/>
    <row r="374" ht="25" customHeight="1" x14ac:dyDescent="0.25"/>
    <row r="375" ht="25" customHeight="1" x14ac:dyDescent="0.25"/>
    <row r="376" ht="25" customHeight="1" x14ac:dyDescent="0.25"/>
    <row r="377" ht="25" customHeight="1" x14ac:dyDescent="0.25"/>
    <row r="378" ht="25" customHeight="1" x14ac:dyDescent="0.25"/>
    <row r="379" ht="25" customHeight="1" x14ac:dyDescent="0.25"/>
    <row r="380" ht="25" customHeight="1" x14ac:dyDescent="0.25"/>
    <row r="381" ht="25" customHeight="1" x14ac:dyDescent="0.25"/>
    <row r="382" ht="25" customHeight="1" x14ac:dyDescent="0.25"/>
    <row r="383" ht="25" customHeight="1" x14ac:dyDescent="0.25"/>
    <row r="384" ht="25" customHeight="1" x14ac:dyDescent="0.25"/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297"/>
  <sheetViews>
    <sheetView workbookViewId="0" zoomScale="85" zoomScaleNormal="85">
      <selection activeCell="D102" sqref="D102"/>
    </sheetView>
  </sheetViews>
  <sheetFormatPr defaultRowHeight="15" outlineLevelRow="0" outlineLevelCol="0" x14ac:dyDescent="0" defaultColWidth="8.83203125"/>
  <cols>
    <col min="1" max="1" width="19.1640625" customWidth="1"/>
    <col min="2" max="2" width="16.6640625" style="294" customWidth="1"/>
    <col min="3" max="3" width="10.33203125" customWidth="1"/>
    <col min="4" max="4" width="34.1640625" customWidth="1"/>
  </cols>
  <sheetData>
    <row r="1" ht="31" customHeight="1" spans="1:5" x14ac:dyDescent="0.25">
      <c r="A1" s="339" t="s">
        <v>0</v>
      </c>
      <c r="B1" s="339" t="s">
        <v>546</v>
      </c>
      <c r="C1" s="339" t="s">
        <v>836</v>
      </c>
      <c r="D1" s="339" t="s">
        <v>577</v>
      </c>
      <c r="E1" s="339" t="s">
        <v>837</v>
      </c>
    </row>
    <row r="2" ht="25.5" customHeight="1" spans="1:4" x14ac:dyDescent="0.25">
      <c r="A2" s="42">
        <v>45839</v>
      </c>
      <c r="B2" s="299">
        <v>45858</v>
      </c>
      <c r="C2" s="301" t="s">
        <v>838</v>
      </c>
      <c r="D2" s="302">
        <v>56.41</v>
      </c>
    </row>
    <row r="3" ht="25.5" customHeight="1" spans="1:4" x14ac:dyDescent="0.25">
      <c r="A3" s="42">
        <v>45839</v>
      </c>
      <c r="B3" s="299">
        <v>45861</v>
      </c>
      <c r="C3" s="301" t="s">
        <v>838</v>
      </c>
      <c r="D3" s="302">
        <v>35.19</v>
      </c>
    </row>
    <row r="4" ht="25.5" customHeight="1" spans="1:4" x14ac:dyDescent="0.25">
      <c r="A4" s="42">
        <v>45839</v>
      </c>
      <c r="B4" s="299">
        <v>45863</v>
      </c>
      <c r="C4" s="301" t="s">
        <v>838</v>
      </c>
      <c r="D4" s="302">
        <v>22.13</v>
      </c>
    </row>
    <row r="5" ht="25.5" customHeight="1" spans="1:4" x14ac:dyDescent="0.25">
      <c r="A5" s="42">
        <v>45839</v>
      </c>
      <c r="B5" s="299"/>
      <c r="C5" s="301" t="s">
        <v>838</v>
      </c>
      <c r="D5" s="302">
        <v>30.02</v>
      </c>
    </row>
    <row r="6" ht="25.5" customHeight="1" spans="1:4" x14ac:dyDescent="0.25">
      <c r="A6" s="42">
        <v>45839</v>
      </c>
      <c r="B6" s="299">
        <v>45868</v>
      </c>
      <c r="C6" s="301" t="s">
        <v>706</v>
      </c>
      <c r="D6" s="302">
        <v>60</v>
      </c>
    </row>
    <row r="7" ht="25.5" customHeight="1" spans="1:4" x14ac:dyDescent="0.25">
      <c r="A7" s="42">
        <v>45839</v>
      </c>
      <c r="B7" s="299">
        <v>45857</v>
      </c>
      <c r="C7" s="301" t="s">
        <v>715</v>
      </c>
      <c r="D7" s="302">
        <v>43.28</v>
      </c>
    </row>
    <row r="8" ht="25.5" customHeight="1" spans="1:4" x14ac:dyDescent="0.25">
      <c r="A8" s="42">
        <v>45839</v>
      </c>
      <c r="B8" s="299"/>
      <c r="C8" s="301"/>
      <c r="D8" s="302"/>
    </row>
    <row r="9" ht="25.5" customHeight="1" spans="1:4" x14ac:dyDescent="0.25">
      <c r="A9" s="42">
        <v>45839</v>
      </c>
      <c r="B9" s="299"/>
      <c r="C9" s="340" t="s">
        <v>839</v>
      </c>
      <c r="D9" s="341">
        <f>SUM(D2:D7)</f>
        <v>247.03</v>
      </c>
    </row>
    <row r="10" ht="25.5" customHeight="1" spans="1:4" x14ac:dyDescent="0.25">
      <c r="A10" s="335"/>
      <c r="B10" s="311"/>
      <c r="C10" s="312"/>
      <c r="D10" s="313"/>
    </row>
    <row r="11" ht="25.5" customHeight="1" spans="1:4" x14ac:dyDescent="0.25">
      <c r="A11" s="42">
        <v>45870</v>
      </c>
      <c r="B11" s="299">
        <v>45870</v>
      </c>
      <c r="C11" s="301" t="s">
        <v>715</v>
      </c>
      <c r="D11" s="302">
        <v>30.02</v>
      </c>
    </row>
    <row r="12" ht="25.5" customHeight="1" spans="1:4" x14ac:dyDescent="0.25">
      <c r="A12" s="42">
        <v>45870</v>
      </c>
      <c r="B12" s="299">
        <v>45874</v>
      </c>
      <c r="C12" s="301" t="s">
        <v>715</v>
      </c>
      <c r="D12" s="302">
        <v>68.92</v>
      </c>
    </row>
    <row r="13" ht="25.5" customHeight="1" spans="1:4" x14ac:dyDescent="0.25">
      <c r="A13" s="42">
        <v>45870</v>
      </c>
      <c r="B13" s="299">
        <v>45875</v>
      </c>
      <c r="C13" s="301" t="s">
        <v>840</v>
      </c>
      <c r="D13" s="302">
        <v>80.92</v>
      </c>
    </row>
    <row r="14" ht="25.5" customHeight="1" spans="1:4" x14ac:dyDescent="0.25">
      <c r="A14" s="42">
        <v>45870</v>
      </c>
      <c r="B14" s="299">
        <v>45877</v>
      </c>
      <c r="C14" s="301" t="s">
        <v>838</v>
      </c>
      <c r="D14" s="302">
        <v>20.02</v>
      </c>
    </row>
    <row r="15" ht="25.5" customHeight="1" spans="1:4" x14ac:dyDescent="0.25">
      <c r="A15" s="42">
        <v>45870</v>
      </c>
      <c r="B15" s="299">
        <v>45883</v>
      </c>
      <c r="C15" s="301" t="s">
        <v>838</v>
      </c>
      <c r="D15" s="302">
        <v>10.74</v>
      </c>
    </row>
    <row r="16" ht="25.5" customHeight="1" spans="1:4" x14ac:dyDescent="0.25">
      <c r="A16" s="42">
        <v>45870</v>
      </c>
      <c r="B16" s="299">
        <v>45890</v>
      </c>
      <c r="C16" s="301" t="s">
        <v>128</v>
      </c>
      <c r="D16" s="302">
        <v>51.27</v>
      </c>
    </row>
    <row r="17" ht="25.5" customHeight="1" spans="1:4" x14ac:dyDescent="0.25">
      <c r="A17" s="42">
        <v>45870</v>
      </c>
      <c r="B17" s="299">
        <v>45894</v>
      </c>
      <c r="C17" s="301" t="s">
        <v>128</v>
      </c>
      <c r="D17" s="302">
        <v>77.45</v>
      </c>
    </row>
    <row r="18" ht="25.5" customHeight="1" spans="1:4" x14ac:dyDescent="0.25">
      <c r="A18" s="42">
        <v>45870</v>
      </c>
      <c r="B18" s="299">
        <v>45899</v>
      </c>
      <c r="C18" s="301" t="s">
        <v>128</v>
      </c>
      <c r="D18" s="302">
        <v>70.4</v>
      </c>
    </row>
    <row r="19" ht="25.5" customHeight="1" spans="1:4" x14ac:dyDescent="0.25">
      <c r="A19" s="42">
        <v>45870</v>
      </c>
      <c r="B19" s="299"/>
      <c r="C19" s="301"/>
      <c r="D19" s="302"/>
    </row>
    <row r="20" ht="25.5" customHeight="1" spans="1:4" x14ac:dyDescent="0.25">
      <c r="A20" s="42">
        <v>45870</v>
      </c>
      <c r="B20" s="299"/>
      <c r="C20" s="340" t="s">
        <v>839</v>
      </c>
      <c r="D20" s="341">
        <f>SUM(D11:D18)</f>
        <v>409.74</v>
      </c>
    </row>
    <row r="21" ht="25.5" customHeight="1" spans="1:4" x14ac:dyDescent="0.25">
      <c r="A21" s="335"/>
      <c r="B21" s="311"/>
      <c r="C21" s="312"/>
      <c r="D21" s="313"/>
    </row>
    <row r="22" ht="25.5" customHeight="1" spans="1:4" x14ac:dyDescent="0.25">
      <c r="A22" s="76">
        <v>45901</v>
      </c>
      <c r="B22" s="299">
        <v>45904</v>
      </c>
      <c r="C22" s="301" t="s">
        <v>128</v>
      </c>
      <c r="D22" s="302">
        <v>71.44</v>
      </c>
    </row>
    <row r="23" ht="25.5" customHeight="1" spans="1:4" x14ac:dyDescent="0.25">
      <c r="A23" s="76">
        <v>45901</v>
      </c>
      <c r="B23" s="299">
        <v>45908</v>
      </c>
      <c r="C23" s="301" t="s">
        <v>128</v>
      </c>
      <c r="D23" s="302">
        <v>71.9</v>
      </c>
    </row>
    <row r="24" ht="25.5" customHeight="1" spans="1:4" x14ac:dyDescent="0.25">
      <c r="A24" s="76">
        <v>45901</v>
      </c>
      <c r="B24" s="299">
        <v>45912</v>
      </c>
      <c r="C24" s="301" t="s">
        <v>128</v>
      </c>
      <c r="D24" s="302">
        <v>40.07</v>
      </c>
    </row>
    <row r="25" ht="25.5" customHeight="1" spans="1:4" x14ac:dyDescent="0.25">
      <c r="A25" s="76">
        <v>45901</v>
      </c>
      <c r="B25" s="299">
        <v>45913</v>
      </c>
      <c r="C25" s="301" t="s">
        <v>128</v>
      </c>
      <c r="D25" s="302">
        <v>20.01</v>
      </c>
    </row>
    <row r="26" ht="25.5" customHeight="1" spans="1:4" x14ac:dyDescent="0.25">
      <c r="A26" s="76">
        <v>45901</v>
      </c>
      <c r="B26" s="299">
        <v>45914</v>
      </c>
      <c r="C26" s="301" t="s">
        <v>128</v>
      </c>
      <c r="D26" s="302">
        <v>75.12</v>
      </c>
    </row>
    <row r="27" ht="25.5" customHeight="1" spans="1:4" x14ac:dyDescent="0.25">
      <c r="A27" s="76">
        <v>45901</v>
      </c>
      <c r="B27" s="299">
        <v>45919</v>
      </c>
      <c r="C27" s="301" t="s">
        <v>128</v>
      </c>
      <c r="D27" s="302">
        <v>73.28</v>
      </c>
    </row>
    <row r="28" ht="25" customHeight="1" spans="1:4" x14ac:dyDescent="0.25">
      <c r="A28" s="76">
        <v>45901</v>
      </c>
      <c r="B28" s="299">
        <v>45926</v>
      </c>
      <c r="C28" s="301" t="s">
        <v>128</v>
      </c>
      <c r="D28" s="302">
        <v>10</v>
      </c>
    </row>
    <row r="29" ht="25" customHeight="1" spans="1:4" x14ac:dyDescent="0.25">
      <c r="A29" s="76">
        <v>45901</v>
      </c>
      <c r="B29" s="299">
        <v>45926</v>
      </c>
      <c r="C29" s="301" t="s">
        <v>128</v>
      </c>
      <c r="D29" s="302">
        <v>73.19</v>
      </c>
    </row>
    <row r="30" ht="25" customHeight="1" spans="1:4" x14ac:dyDescent="0.25">
      <c r="A30" s="76">
        <v>45901</v>
      </c>
      <c r="B30" s="299"/>
      <c r="C30" s="301"/>
      <c r="D30" s="302"/>
    </row>
    <row r="31" ht="25" customHeight="1" spans="1:4" x14ac:dyDescent="0.25">
      <c r="A31" s="76">
        <v>45901</v>
      </c>
      <c r="B31" s="317"/>
      <c r="C31" s="340" t="s">
        <v>839</v>
      </c>
      <c r="D31" s="341">
        <f>SUM(D22:D29)</f>
        <v>435.00999999999993</v>
      </c>
    </row>
    <row r="32" ht="25" customHeight="1" spans="1:4" x14ac:dyDescent="0.25">
      <c r="A32" s="335"/>
      <c r="B32" s="334"/>
      <c r="C32" s="335"/>
      <c r="D32" s="335"/>
    </row>
    <row r="33" ht="25" customHeight="1" spans="1:4" x14ac:dyDescent="0.25">
      <c r="A33" s="76">
        <v>45931</v>
      </c>
      <c r="B33" s="299">
        <v>45932</v>
      </c>
      <c r="C33" s="77" t="s">
        <v>706</v>
      </c>
      <c r="D33" s="45">
        <v>67.79</v>
      </c>
    </row>
    <row r="34" ht="25" customHeight="1" spans="1:4" x14ac:dyDescent="0.25">
      <c r="A34" s="76">
        <v>45931</v>
      </c>
      <c r="B34" s="299">
        <v>45938</v>
      </c>
      <c r="C34" s="77" t="s">
        <v>706</v>
      </c>
      <c r="D34" s="45">
        <v>75.67</v>
      </c>
    </row>
    <row r="35" ht="25" customHeight="1" spans="1:4" x14ac:dyDescent="0.25">
      <c r="A35" s="76">
        <v>45931</v>
      </c>
      <c r="B35" s="299">
        <v>45942</v>
      </c>
      <c r="C35" s="77" t="s">
        <v>706</v>
      </c>
      <c r="D35" s="45">
        <v>74.67</v>
      </c>
    </row>
    <row r="36" ht="25" customHeight="1" spans="1:4" x14ac:dyDescent="0.25">
      <c r="A36" s="76">
        <v>45931</v>
      </c>
      <c r="B36" s="299">
        <v>45948</v>
      </c>
      <c r="C36" s="77" t="s">
        <v>706</v>
      </c>
      <c r="D36" s="45">
        <v>79.41</v>
      </c>
    </row>
    <row r="37" ht="25" customHeight="1" spans="1:4" x14ac:dyDescent="0.25">
      <c r="A37" s="76">
        <v>45931</v>
      </c>
      <c r="B37" s="299">
        <v>45953</v>
      </c>
      <c r="C37" s="77" t="s">
        <v>706</v>
      </c>
      <c r="D37" s="45">
        <v>72.96</v>
      </c>
    </row>
    <row r="38" ht="25" customHeight="1" spans="1:4" x14ac:dyDescent="0.25">
      <c r="A38" s="76">
        <v>45931</v>
      </c>
      <c r="B38" s="299"/>
      <c r="C38" s="77"/>
      <c r="D38" s="45"/>
    </row>
    <row r="39" ht="25" customHeight="1" spans="1:4" x14ac:dyDescent="0.25">
      <c r="A39" s="76">
        <v>45931</v>
      </c>
      <c r="B39" s="170"/>
      <c r="C39" s="340" t="s">
        <v>839</v>
      </c>
      <c r="D39" s="341">
        <f>SUM(D33:D37)</f>
        <v>370.49999999999994</v>
      </c>
    </row>
    <row r="40" ht="25" customHeight="1" spans="1:4" x14ac:dyDescent="0.25">
      <c r="A40" s="335"/>
      <c r="B40" s="334"/>
      <c r="C40" s="335"/>
      <c r="D40" s="335"/>
    </row>
    <row r="41" ht="25" customHeight="1" spans="1:4" x14ac:dyDescent="0.25">
      <c r="A41" s="76">
        <v>45962</v>
      </c>
      <c r="B41" s="299">
        <v>45977</v>
      </c>
      <c r="C41" s="301" t="s">
        <v>537</v>
      </c>
      <c r="D41" s="302">
        <v>45</v>
      </c>
    </row>
    <row r="42" ht="25" customHeight="1" spans="1:4" x14ac:dyDescent="0.25">
      <c r="A42" s="76">
        <v>45962</v>
      </c>
      <c r="B42" s="299">
        <v>45975</v>
      </c>
      <c r="C42" s="301" t="s">
        <v>706</v>
      </c>
      <c r="D42" s="302">
        <v>74.01</v>
      </c>
    </row>
    <row r="43" ht="25" customHeight="1" spans="1:4" x14ac:dyDescent="0.25">
      <c r="A43" s="76">
        <v>45962</v>
      </c>
      <c r="B43" s="299"/>
      <c r="C43" s="301" t="s">
        <v>715</v>
      </c>
      <c r="D43" s="302">
        <v>49.89</v>
      </c>
    </row>
    <row r="44" ht="25" customHeight="1" spans="1:4" x14ac:dyDescent="0.25">
      <c r="A44" s="76">
        <v>45962</v>
      </c>
      <c r="B44" s="299">
        <v>45980</v>
      </c>
      <c r="C44" s="301" t="s">
        <v>706</v>
      </c>
      <c r="D44" s="302">
        <v>78.3</v>
      </c>
    </row>
    <row r="45" ht="25" customHeight="1" spans="1:4" x14ac:dyDescent="0.25">
      <c r="A45" s="76">
        <v>45962</v>
      </c>
      <c r="B45" s="299">
        <v>45986</v>
      </c>
      <c r="C45" s="301" t="s">
        <v>706</v>
      </c>
      <c r="D45" s="302">
        <v>70.19</v>
      </c>
    </row>
    <row r="46" ht="25" customHeight="1" spans="1:4" x14ac:dyDescent="0.25">
      <c r="A46" s="76">
        <v>45962</v>
      </c>
      <c r="B46" s="299">
        <v>45988</v>
      </c>
      <c r="C46" s="301" t="s">
        <v>706</v>
      </c>
      <c r="D46" s="302">
        <f>20.14+5.2</f>
        <v>25.34</v>
      </c>
    </row>
    <row r="47" ht="25" customHeight="1" spans="1:4" x14ac:dyDescent="0.25">
      <c r="A47" s="76">
        <v>45962</v>
      </c>
      <c r="B47" s="299">
        <v>45991</v>
      </c>
      <c r="C47" s="301" t="s">
        <v>706</v>
      </c>
      <c r="D47" s="302">
        <v>80.04</v>
      </c>
    </row>
    <row r="48" ht="25" customHeight="1" spans="1:4" x14ac:dyDescent="0.25">
      <c r="A48" s="76">
        <v>45962</v>
      </c>
      <c r="B48" s="299"/>
      <c r="C48" s="301"/>
      <c r="D48" s="302"/>
    </row>
    <row r="49" ht="25" customHeight="1" spans="1:4" x14ac:dyDescent="0.25">
      <c r="A49" s="76">
        <v>45962</v>
      </c>
      <c r="B49" s="299"/>
      <c r="C49" s="340" t="s">
        <v>839</v>
      </c>
      <c r="D49" s="341">
        <f>SUM(D41:D47)</f>
        <v>422.77</v>
      </c>
    </row>
    <row r="50" ht="25" customHeight="1" spans="1:4" x14ac:dyDescent="0.25">
      <c r="A50" s="80">
        <v>45962</v>
      </c>
      <c r="B50" s="334"/>
      <c r="C50" s="335"/>
      <c r="D50" s="335"/>
    </row>
    <row r="51" ht="25" customHeight="1" spans="1:4" x14ac:dyDescent="0.25">
      <c r="A51" s="76">
        <v>45992</v>
      </c>
      <c r="B51" s="299">
        <v>45995</v>
      </c>
      <c r="C51" s="301" t="s">
        <v>706</v>
      </c>
      <c r="D51" s="302">
        <v>79.95</v>
      </c>
    </row>
    <row r="52" ht="25" customHeight="1" spans="1:4" x14ac:dyDescent="0.25">
      <c r="A52" s="76">
        <v>45992</v>
      </c>
      <c r="B52" s="299">
        <v>45996</v>
      </c>
      <c r="C52" s="301" t="s">
        <v>706</v>
      </c>
      <c r="D52" s="302">
        <v>10.82</v>
      </c>
    </row>
    <row r="53" ht="25" customHeight="1" spans="1:4" x14ac:dyDescent="0.25">
      <c r="A53" s="76">
        <v>45992</v>
      </c>
      <c r="B53" s="299">
        <v>46000</v>
      </c>
      <c r="C53" s="301" t="s">
        <v>706</v>
      </c>
      <c r="D53" s="302">
        <v>78.71</v>
      </c>
    </row>
    <row r="54" ht="25" customHeight="1" spans="1:4" x14ac:dyDescent="0.25">
      <c r="A54" s="76">
        <v>45992</v>
      </c>
      <c r="B54" s="299">
        <v>46006</v>
      </c>
      <c r="C54" s="301" t="s">
        <v>706</v>
      </c>
      <c r="D54" s="302">
        <v>80.13</v>
      </c>
    </row>
    <row r="55" ht="25" customHeight="1" spans="1:4" x14ac:dyDescent="0.25">
      <c r="A55" s="76">
        <v>45992</v>
      </c>
      <c r="B55" s="299"/>
      <c r="C55" s="301" t="s">
        <v>706</v>
      </c>
      <c r="D55" s="302">
        <v>81.63</v>
      </c>
    </row>
    <row r="56" ht="25" customHeight="1" spans="1:4" x14ac:dyDescent="0.25">
      <c r="A56" s="76">
        <v>45992</v>
      </c>
      <c r="B56" s="299"/>
      <c r="C56" s="301"/>
      <c r="D56" s="302"/>
    </row>
    <row r="57" ht="25" customHeight="1" spans="1:4" x14ac:dyDescent="0.25">
      <c r="A57" s="76">
        <v>45992</v>
      </c>
      <c r="B57" s="299"/>
      <c r="C57" s="340" t="s">
        <v>839</v>
      </c>
      <c r="D57" s="341">
        <f>SUM(D51:D55)</f>
        <v>331.24</v>
      </c>
    </row>
    <row r="58" ht="25" customHeight="1" spans="1:4" x14ac:dyDescent="0.25">
      <c r="A58" s="80">
        <v>45992</v>
      </c>
      <c r="B58" s="334"/>
      <c r="C58" s="342"/>
      <c r="D58" s="342"/>
    </row>
    <row r="59" ht="25" customHeight="1" spans="1:4" x14ac:dyDescent="0.25">
      <c r="A59" s="42">
        <v>46023</v>
      </c>
      <c r="B59" s="299">
        <v>46023</v>
      </c>
      <c r="C59" s="301" t="s">
        <v>706</v>
      </c>
      <c r="D59" s="302">
        <v>76.26</v>
      </c>
    </row>
    <row r="60" ht="25" customHeight="1" spans="1:4" x14ac:dyDescent="0.25">
      <c r="A60" s="42">
        <v>46023</v>
      </c>
      <c r="B60" s="299">
        <v>46026</v>
      </c>
      <c r="D60" s="302">
        <v>18</v>
      </c>
    </row>
    <row r="61" ht="25" customHeight="1" spans="1:4" x14ac:dyDescent="0.25">
      <c r="A61" s="42">
        <v>46023</v>
      </c>
      <c r="B61" s="299">
        <v>46029</v>
      </c>
      <c r="C61" s="301" t="s">
        <v>537</v>
      </c>
      <c r="D61" s="302">
        <v>35.35</v>
      </c>
    </row>
    <row r="62" ht="25" customHeight="1" spans="1:4" x14ac:dyDescent="0.25">
      <c r="A62" s="42">
        <v>46023</v>
      </c>
      <c r="B62" s="299">
        <v>46028</v>
      </c>
      <c r="C62" s="301"/>
      <c r="D62" s="302">
        <v>19.6</v>
      </c>
    </row>
    <row r="63" ht="25" customHeight="1" spans="1:4" x14ac:dyDescent="0.25">
      <c r="A63" s="42">
        <v>46023</v>
      </c>
      <c r="B63" s="299">
        <v>46029</v>
      </c>
      <c r="C63" s="301" t="s">
        <v>706</v>
      </c>
      <c r="D63" s="302">
        <v>75.8</v>
      </c>
    </row>
    <row r="64" ht="25" customHeight="1" spans="1:4" x14ac:dyDescent="0.25">
      <c r="A64" s="42">
        <v>46023</v>
      </c>
      <c r="B64" s="299">
        <v>46029</v>
      </c>
      <c r="C64" s="301"/>
      <c r="D64" s="302">
        <v>3.23</v>
      </c>
    </row>
    <row r="65" ht="25" customHeight="1" spans="1:4" x14ac:dyDescent="0.25">
      <c r="A65" s="42">
        <v>46023</v>
      </c>
      <c r="B65" s="299">
        <v>46033</v>
      </c>
      <c r="C65" s="301" t="s">
        <v>537</v>
      </c>
      <c r="D65" s="302">
        <v>24.5</v>
      </c>
    </row>
    <row r="66" ht="25" customHeight="1" spans="1:4" x14ac:dyDescent="0.25">
      <c r="A66" s="42">
        <v>46023</v>
      </c>
      <c r="B66" s="299">
        <v>46033</v>
      </c>
      <c r="C66" s="301" t="s">
        <v>706</v>
      </c>
      <c r="D66" s="302">
        <v>69.28</v>
      </c>
    </row>
    <row r="67" ht="25" customHeight="1" spans="1:4" x14ac:dyDescent="0.25">
      <c r="A67" s="42">
        <v>46023</v>
      </c>
      <c r="B67" s="299">
        <v>46039</v>
      </c>
      <c r="C67" s="301" t="s">
        <v>706</v>
      </c>
      <c r="D67" s="302">
        <v>75.92</v>
      </c>
    </row>
    <row r="68" ht="25" customHeight="1" spans="1:4" x14ac:dyDescent="0.25">
      <c r="A68" s="42">
        <v>46023</v>
      </c>
      <c r="B68" s="299"/>
      <c r="C68" s="301" t="s">
        <v>706</v>
      </c>
      <c r="D68" s="302">
        <v>75.92</v>
      </c>
    </row>
    <row r="69" ht="25" customHeight="1" spans="1:4" x14ac:dyDescent="0.25">
      <c r="A69" s="42">
        <v>46023</v>
      </c>
      <c r="B69" s="299">
        <v>46047</v>
      </c>
      <c r="C69" s="301" t="s">
        <v>706</v>
      </c>
      <c r="D69" s="302">
        <v>75.2</v>
      </c>
    </row>
    <row r="70" ht="25" customHeight="1" spans="1:4" x14ac:dyDescent="0.25">
      <c r="A70" s="42">
        <v>46023</v>
      </c>
      <c r="B70" s="299"/>
      <c r="C70" s="301"/>
      <c r="D70" s="302">
        <v>6.26</v>
      </c>
    </row>
    <row r="71" ht="25" customHeight="1" spans="1:4" x14ac:dyDescent="0.25">
      <c r="A71" s="42">
        <v>46023</v>
      </c>
      <c r="B71" s="299"/>
      <c r="C71" s="301"/>
      <c r="D71" s="302"/>
    </row>
    <row r="72" ht="25" customHeight="1" spans="1:4" x14ac:dyDescent="0.25">
      <c r="A72" s="42">
        <v>46023</v>
      </c>
      <c r="B72" s="299"/>
      <c r="C72" s="340" t="s">
        <v>839</v>
      </c>
      <c r="D72" s="341">
        <f>SUM(D59:D68)</f>
        <v>473.86</v>
      </c>
    </row>
    <row r="73" ht="25" customHeight="1" spans="1:4" x14ac:dyDescent="0.25">
      <c r="A73" s="53">
        <v>46023</v>
      </c>
      <c r="B73" s="311"/>
      <c r="C73" s="312"/>
      <c r="D73" s="313"/>
    </row>
    <row r="74" ht="22" customHeight="1" spans="1:4" x14ac:dyDescent="0.25">
      <c r="A74" s="42">
        <v>46054</v>
      </c>
      <c r="B74" s="299">
        <v>46055</v>
      </c>
      <c r="C74" s="301" t="s">
        <v>706</v>
      </c>
      <c r="D74" s="302">
        <v>74.67</v>
      </c>
    </row>
    <row r="75" ht="22" customHeight="1" spans="1:4" x14ac:dyDescent="0.25">
      <c r="A75" s="42">
        <v>46054</v>
      </c>
      <c r="B75" s="299">
        <v>46057</v>
      </c>
      <c r="C75" s="301"/>
      <c r="D75" s="302">
        <v>12.51</v>
      </c>
    </row>
    <row r="76" ht="22" customHeight="1" spans="1:4" x14ac:dyDescent="0.25">
      <c r="A76" s="42">
        <v>46054</v>
      </c>
      <c r="B76" s="299">
        <v>46057</v>
      </c>
      <c r="C76" s="301" t="s">
        <v>706</v>
      </c>
      <c r="D76" s="302">
        <v>75.97</v>
      </c>
    </row>
    <row r="77" ht="22" customHeight="1" spans="1:4" x14ac:dyDescent="0.25">
      <c r="A77" s="42">
        <v>46054</v>
      </c>
      <c r="B77" s="299">
        <v>46061</v>
      </c>
      <c r="C77" s="301"/>
      <c r="D77" s="302">
        <v>10.33</v>
      </c>
    </row>
    <row r="78" ht="22" customHeight="1" spans="1:4" x14ac:dyDescent="0.25">
      <c r="A78" s="42">
        <v>46054</v>
      </c>
      <c r="B78" s="299">
        <v>46063</v>
      </c>
      <c r="C78" s="301" t="s">
        <v>706</v>
      </c>
      <c r="D78" s="302">
        <v>79.11</v>
      </c>
    </row>
    <row r="79" ht="22" customHeight="1" spans="1:4" x14ac:dyDescent="0.25">
      <c r="A79" s="42">
        <v>46054</v>
      </c>
      <c r="B79" s="299">
        <v>46063</v>
      </c>
      <c r="C79" s="301"/>
      <c r="D79" s="302">
        <v>9.93</v>
      </c>
    </row>
    <row r="80" ht="22" customHeight="1" spans="1:4" x14ac:dyDescent="0.25">
      <c r="A80" s="42">
        <v>46054</v>
      </c>
      <c r="B80" s="299">
        <v>46065</v>
      </c>
      <c r="C80" s="301" t="s">
        <v>706</v>
      </c>
      <c r="D80" s="302">
        <v>81.31</v>
      </c>
    </row>
    <row r="81" ht="22" customHeight="1" spans="1:4" x14ac:dyDescent="0.25">
      <c r="A81" s="42">
        <v>46054</v>
      </c>
      <c r="B81" s="299">
        <v>46067</v>
      </c>
      <c r="C81" s="301" t="s">
        <v>706</v>
      </c>
      <c r="D81" s="302">
        <v>77.37</v>
      </c>
    </row>
    <row r="82" ht="22" customHeight="1" spans="1:4" x14ac:dyDescent="0.25">
      <c r="A82" s="42">
        <v>46054</v>
      </c>
      <c r="B82" s="299">
        <v>46073</v>
      </c>
      <c r="C82" s="301" t="s">
        <v>706</v>
      </c>
      <c r="D82" s="302">
        <v>63.58</v>
      </c>
    </row>
    <row r="83" ht="22" customHeight="1" spans="1:4" x14ac:dyDescent="0.25">
      <c r="A83" s="42">
        <v>46054</v>
      </c>
      <c r="B83" s="299">
        <v>46077</v>
      </c>
      <c r="C83" s="301" t="s">
        <v>706</v>
      </c>
      <c r="D83" s="302">
        <v>70</v>
      </c>
    </row>
    <row r="84" ht="22" customHeight="1" spans="1:4" x14ac:dyDescent="0.25">
      <c r="A84" s="42">
        <v>46054</v>
      </c>
      <c r="B84" s="299"/>
      <c r="C84" s="301"/>
      <c r="D84" s="302">
        <v>10.16</v>
      </c>
    </row>
    <row r="85" ht="22" customHeight="1" spans="1:4" x14ac:dyDescent="0.25">
      <c r="A85" s="42">
        <v>46054</v>
      </c>
      <c r="B85" s="299"/>
      <c r="C85" s="301"/>
      <c r="D85" s="302"/>
    </row>
    <row r="86" ht="22" customHeight="1" spans="1:4" x14ac:dyDescent="0.25">
      <c r="A86" s="42">
        <v>46054</v>
      </c>
      <c r="B86" s="299"/>
      <c r="C86" s="340" t="s">
        <v>839</v>
      </c>
      <c r="D86" s="341">
        <f>SUM(D74:D84)</f>
        <v>564.9399999999999</v>
      </c>
    </row>
    <row r="87" ht="22" customHeight="1" spans="1:4" x14ac:dyDescent="0.25">
      <c r="A87" s="210">
        <v>46054</v>
      </c>
      <c r="B87" s="311"/>
      <c r="C87" s="312"/>
      <c r="D87" s="313"/>
    </row>
    <row r="88" ht="22" customHeight="1" spans="1:4" x14ac:dyDescent="0.25">
      <c r="A88" s="199">
        <v>46082</v>
      </c>
      <c r="B88" s="299"/>
      <c r="C88" s="301" t="s">
        <v>706</v>
      </c>
      <c r="D88" s="302">
        <v>9.54</v>
      </c>
    </row>
    <row r="89" ht="22" customHeight="1" spans="1:5" x14ac:dyDescent="0.25">
      <c r="A89" s="199">
        <v>46082</v>
      </c>
      <c r="B89" s="299"/>
      <c r="C89" s="301"/>
      <c r="D89" s="302">
        <v>20.28</v>
      </c>
      <c r="E89" t="s">
        <v>841</v>
      </c>
    </row>
    <row r="90" ht="22" customHeight="1" spans="1:5" x14ac:dyDescent="0.25">
      <c r="A90" s="199">
        <v>46082</v>
      </c>
      <c r="B90" s="299"/>
      <c r="C90" s="301"/>
      <c r="D90" s="302">
        <v>60.54</v>
      </c>
      <c r="E90" t="s">
        <v>841</v>
      </c>
    </row>
    <row r="91" ht="22" customHeight="1" spans="1:4" x14ac:dyDescent="0.25">
      <c r="A91" s="199">
        <v>46082</v>
      </c>
      <c r="B91" s="299"/>
      <c r="C91" s="301" t="s">
        <v>706</v>
      </c>
      <c r="D91" s="302">
        <v>17.91</v>
      </c>
    </row>
    <row r="92" ht="22" customHeight="1" spans="1:4" x14ac:dyDescent="0.25">
      <c r="A92" s="199">
        <v>46082</v>
      </c>
      <c r="B92" s="299"/>
      <c r="C92" s="301" t="s">
        <v>706</v>
      </c>
      <c r="D92" s="302">
        <v>8.06</v>
      </c>
    </row>
    <row r="93" ht="22" customHeight="1" spans="1:4" x14ac:dyDescent="0.25">
      <c r="A93" s="199">
        <v>46082</v>
      </c>
      <c r="B93" s="299"/>
      <c r="C93" s="301" t="s">
        <v>706</v>
      </c>
      <c r="D93" s="302">
        <v>87.89</v>
      </c>
    </row>
    <row r="94" ht="22" customHeight="1" spans="1:4" x14ac:dyDescent="0.25">
      <c r="A94" s="199">
        <v>46082</v>
      </c>
      <c r="B94" s="299"/>
      <c r="C94" s="301" t="s">
        <v>706</v>
      </c>
      <c r="D94" s="302">
        <v>90.02</v>
      </c>
    </row>
    <row r="95" ht="22" customHeight="1" spans="1:4" x14ac:dyDescent="0.25">
      <c r="A95" s="199">
        <v>46082</v>
      </c>
      <c r="B95" s="299"/>
      <c r="C95" s="301" t="s">
        <v>706</v>
      </c>
      <c r="D95" s="302">
        <v>77.64</v>
      </c>
    </row>
    <row r="96" ht="22" customHeight="1" spans="1:4" x14ac:dyDescent="0.25">
      <c r="A96" s="199">
        <v>46082</v>
      </c>
      <c r="B96" s="299"/>
      <c r="C96" s="301"/>
      <c r="D96" s="302">
        <v>78.97</v>
      </c>
    </row>
    <row r="97" ht="22" customHeight="1" spans="1:4" x14ac:dyDescent="0.25">
      <c r="A97" s="199">
        <v>46082</v>
      </c>
      <c r="B97" s="299"/>
      <c r="C97" s="301"/>
      <c r="D97" s="302">
        <v>95.56</v>
      </c>
    </row>
    <row r="98" ht="22" customHeight="1" spans="1:4" x14ac:dyDescent="0.25">
      <c r="A98" s="199">
        <v>46082</v>
      </c>
      <c r="B98" s="299"/>
      <c r="C98" s="301"/>
      <c r="D98" s="302"/>
    </row>
    <row r="99" ht="22" customHeight="1" spans="1:4" x14ac:dyDescent="0.25">
      <c r="A99" s="199">
        <v>46082</v>
      </c>
      <c r="B99" s="299"/>
      <c r="C99" s="340" t="s">
        <v>839</v>
      </c>
      <c r="D99" s="341">
        <f>SUM(D88:D97)</f>
        <v>546.4100000000001</v>
      </c>
    </row>
    <row r="100" ht="24" customHeight="1" spans="1:4" x14ac:dyDescent="0.25">
      <c r="A100" s="335"/>
      <c r="B100" s="311"/>
      <c r="C100" s="312"/>
      <c r="D100" s="313"/>
    </row>
    <row r="101" ht="22" customHeight="1" spans="1:4" x14ac:dyDescent="0.25">
      <c r="A101" s="199">
        <v>46113</v>
      </c>
      <c r="B101" s="299"/>
      <c r="C101" s="301"/>
      <c r="D101" s="302">
        <v>97.79</v>
      </c>
    </row>
    <row r="102" ht="22" customHeight="1" spans="1:4" x14ac:dyDescent="0.25">
      <c r="A102" s="199">
        <v>46113</v>
      </c>
      <c r="B102" s="299"/>
      <c r="C102" s="301"/>
      <c r="D102" s="302"/>
    </row>
    <row r="103" ht="22" customHeight="1" spans="1:4" x14ac:dyDescent="0.25">
      <c r="A103" s="199">
        <v>46113</v>
      </c>
      <c r="B103" s="299"/>
      <c r="C103" s="301"/>
      <c r="D103" s="302"/>
    </row>
    <row r="104" ht="22" customHeight="1" spans="1:4" x14ac:dyDescent="0.25">
      <c r="A104" s="199">
        <v>46113</v>
      </c>
      <c r="B104" s="299"/>
      <c r="C104" s="301"/>
      <c r="D104" s="302"/>
    </row>
    <row r="105" ht="22" customHeight="1" spans="1:4" x14ac:dyDescent="0.25">
      <c r="A105" s="199">
        <v>46113</v>
      </c>
      <c r="B105" s="299"/>
      <c r="C105" s="301"/>
      <c r="D105" s="302"/>
    </row>
    <row r="106" ht="22" customHeight="1" spans="1:4" x14ac:dyDescent="0.25">
      <c r="A106" s="199">
        <v>46113</v>
      </c>
      <c r="B106" s="299"/>
      <c r="C106" s="301"/>
      <c r="D106" s="302"/>
    </row>
    <row r="107" ht="22" customHeight="1" spans="1:4" x14ac:dyDescent="0.25">
      <c r="A107" s="199">
        <v>46113</v>
      </c>
      <c r="B107" s="299"/>
      <c r="C107" s="301"/>
      <c r="D107" s="302"/>
    </row>
    <row r="108" ht="22" customHeight="1" spans="1:4" x14ac:dyDescent="0.25">
      <c r="A108" s="199">
        <v>46113</v>
      </c>
      <c r="B108" s="299"/>
      <c r="C108" s="301"/>
      <c r="D108" s="302"/>
    </row>
    <row r="109" ht="22" customHeight="1" spans="1:4" x14ac:dyDescent="0.25">
      <c r="A109" s="199">
        <v>46113</v>
      </c>
      <c r="B109" s="299"/>
      <c r="C109" s="301"/>
      <c r="D109" s="302"/>
    </row>
    <row r="110" ht="22" customHeight="1" spans="1:4" x14ac:dyDescent="0.25">
      <c r="A110" s="199">
        <v>46113</v>
      </c>
      <c r="B110" s="299"/>
      <c r="C110" s="301"/>
      <c r="D110" s="302"/>
    </row>
    <row r="111" ht="22" customHeight="1" spans="1:4" x14ac:dyDescent="0.25">
      <c r="A111" s="199">
        <v>46113</v>
      </c>
      <c r="B111" s="299"/>
      <c r="C111" s="340" t="s">
        <v>839</v>
      </c>
      <c r="D111" s="341">
        <f>SUM(D101:D109)</f>
        <v>97.79</v>
      </c>
    </row>
    <row r="112" ht="22" customHeight="1" spans="1:4" x14ac:dyDescent="0.25">
      <c r="A112" s="335"/>
      <c r="B112" s="311"/>
      <c r="C112" s="312"/>
      <c r="D112" s="313"/>
    </row>
    <row r="113" ht="22" customHeight="1" spans="1:4" x14ac:dyDescent="0.25">
      <c r="A113" s="305"/>
      <c r="B113" s="299"/>
      <c r="C113" s="301"/>
      <c r="D113" s="302"/>
    </row>
    <row r="114" ht="22" customHeight="1" spans="1:4" x14ac:dyDescent="0.25">
      <c r="A114" s="305"/>
      <c r="B114" s="299"/>
      <c r="C114" s="301"/>
      <c r="D114" s="302"/>
    </row>
    <row r="115" ht="22" customHeight="1" spans="1:4" x14ac:dyDescent="0.25">
      <c r="A115" s="305"/>
      <c r="B115" s="299"/>
      <c r="C115" s="301"/>
      <c r="D115" s="302"/>
    </row>
    <row r="116" ht="22" customHeight="1" spans="1:4" x14ac:dyDescent="0.25">
      <c r="A116" s="305"/>
      <c r="B116" s="299"/>
      <c r="C116" s="301"/>
      <c r="D116" s="302"/>
    </row>
    <row r="117" ht="22" customHeight="1" spans="1:4" x14ac:dyDescent="0.25">
      <c r="A117" s="305"/>
      <c r="B117" s="299"/>
      <c r="C117" s="301"/>
      <c r="D117" s="302"/>
    </row>
    <row r="118" ht="22" customHeight="1" spans="1:4" x14ac:dyDescent="0.25">
      <c r="A118" s="305"/>
      <c r="B118" s="299"/>
      <c r="C118" s="301"/>
      <c r="D118" s="302"/>
    </row>
    <row r="119" ht="22" customHeight="1" spans="1:4" x14ac:dyDescent="0.25">
      <c r="A119" s="305"/>
      <c r="B119" s="299"/>
      <c r="C119" s="301"/>
      <c r="D119" s="302"/>
    </row>
    <row r="120" ht="22" customHeight="1" spans="1:4" x14ac:dyDescent="0.25">
      <c r="A120" s="305"/>
      <c r="B120" s="299"/>
      <c r="C120" s="301"/>
      <c r="D120" s="302"/>
    </row>
    <row r="121" ht="22" customHeight="1" spans="1:4" x14ac:dyDescent="0.25">
      <c r="A121" s="305"/>
      <c r="B121" s="299"/>
      <c r="C121" s="301"/>
      <c r="D121" s="302"/>
    </row>
    <row r="122" ht="22" customHeight="1" spans="1:4" x14ac:dyDescent="0.25">
      <c r="A122" s="305"/>
      <c r="B122" s="299"/>
      <c r="C122" s="301"/>
      <c r="D122" s="302"/>
    </row>
    <row r="123" ht="22" customHeight="1" spans="1:4" x14ac:dyDescent="0.25">
      <c r="A123" s="305"/>
      <c r="B123" s="299"/>
      <c r="C123" s="301"/>
      <c r="D123" s="302"/>
    </row>
    <row r="124" ht="22" customHeight="1" spans="1:4" x14ac:dyDescent="0.25">
      <c r="A124" s="305"/>
      <c r="B124" s="299"/>
      <c r="C124" s="301"/>
      <c r="D124" s="302"/>
    </row>
    <row r="125" ht="22" customHeight="1" spans="1:4" x14ac:dyDescent="0.25">
      <c r="A125" s="305"/>
      <c r="B125" s="299"/>
      <c r="C125" s="301"/>
      <c r="D125" s="302"/>
    </row>
    <row r="126" ht="22" customHeight="1" spans="1:4" x14ac:dyDescent="0.25">
      <c r="A126" s="305"/>
      <c r="B126" s="299"/>
      <c r="C126" s="301"/>
      <c r="D126" s="302"/>
    </row>
    <row r="127" ht="22" customHeight="1" spans="1:4" x14ac:dyDescent="0.25">
      <c r="A127" s="343"/>
      <c r="B127" s="344"/>
      <c r="C127" s="343"/>
      <c r="D127" s="345"/>
    </row>
    <row r="128" ht="22" customHeight="1" spans="1:4" x14ac:dyDescent="0.25">
      <c r="A128" s="343"/>
      <c r="B128" s="344"/>
      <c r="C128" s="343"/>
      <c r="D128" s="345"/>
    </row>
    <row r="129" ht="22" customHeight="1" spans="1:4" x14ac:dyDescent="0.25">
      <c r="A129" s="343"/>
      <c r="B129" s="344"/>
      <c r="C129" s="343"/>
      <c r="D129" s="345"/>
    </row>
    <row r="130" ht="22" customHeight="1" spans="1:4" x14ac:dyDescent="0.25">
      <c r="A130" s="343"/>
      <c r="B130" s="344"/>
      <c r="C130" s="343"/>
      <c r="D130" s="345"/>
    </row>
    <row r="131" ht="22" customHeight="1" spans="1:4" x14ac:dyDescent="0.25">
      <c r="A131" s="343"/>
      <c r="B131" s="344"/>
      <c r="C131" s="343"/>
      <c r="D131" s="345"/>
    </row>
    <row r="132" ht="22" customHeight="1" spans="1:4" x14ac:dyDescent="0.25">
      <c r="A132" s="343"/>
      <c r="B132" s="344"/>
      <c r="C132" s="343"/>
      <c r="D132" s="345"/>
    </row>
    <row r="133" ht="22" customHeight="1" spans="1:4" x14ac:dyDescent="0.25">
      <c r="A133" s="343"/>
      <c r="B133" s="344"/>
      <c r="C133" s="343"/>
      <c r="D133" s="345"/>
    </row>
    <row r="134" ht="22" customHeight="1" spans="1:4" x14ac:dyDescent="0.25">
      <c r="A134" s="343"/>
      <c r="B134" s="344"/>
      <c r="C134" s="343"/>
      <c r="D134" s="345"/>
    </row>
    <row r="135" ht="22" customHeight="1" spans="1:4" x14ac:dyDescent="0.25">
      <c r="A135" s="343"/>
      <c r="B135" s="344"/>
      <c r="C135" s="343"/>
      <c r="D135" s="345"/>
    </row>
    <row r="136" ht="22" customHeight="1" spans="1:4" x14ac:dyDescent="0.25">
      <c r="A136" s="343"/>
      <c r="B136" s="344"/>
      <c r="C136" s="343"/>
      <c r="D136" s="345"/>
    </row>
    <row r="137" ht="22" customHeight="1" spans="1:4" x14ac:dyDescent="0.25">
      <c r="A137" s="343"/>
      <c r="B137" s="344"/>
      <c r="C137" s="343"/>
      <c r="D137" s="345"/>
    </row>
    <row r="138" ht="22" customHeight="1" spans="1:4" x14ac:dyDescent="0.25">
      <c r="A138" s="343"/>
      <c r="B138" s="344"/>
      <c r="C138" s="343"/>
      <c r="D138" s="345"/>
    </row>
    <row r="139" ht="22" customHeight="1" spans="1:4" x14ac:dyDescent="0.25">
      <c r="A139" s="343"/>
      <c r="B139" s="344"/>
      <c r="C139" s="343"/>
      <c r="D139" s="345"/>
    </row>
    <row r="140" ht="22" customHeight="1" spans="1:4" x14ac:dyDescent="0.25">
      <c r="A140" s="343"/>
      <c r="B140" s="344"/>
      <c r="C140" s="343"/>
      <c r="D140" s="345"/>
    </row>
    <row r="141" ht="22" customHeight="1" spans="1:4" x14ac:dyDescent="0.25">
      <c r="A141" s="343"/>
      <c r="B141" s="344"/>
      <c r="C141" s="343"/>
      <c r="D141" s="345"/>
    </row>
    <row r="142" ht="22" customHeight="1" spans="1:4" x14ac:dyDescent="0.25">
      <c r="A142" s="343"/>
      <c r="B142" s="344"/>
      <c r="C142" s="343"/>
      <c r="D142" s="345"/>
    </row>
    <row r="143" ht="22" customHeight="1" spans="1:4" x14ac:dyDescent="0.25">
      <c r="A143" s="343"/>
      <c r="B143" s="344"/>
      <c r="C143" s="343"/>
      <c r="D143" s="345"/>
    </row>
    <row r="144" ht="22" customHeight="1" spans="1:4" x14ac:dyDescent="0.25">
      <c r="A144" s="343"/>
      <c r="B144" s="344"/>
      <c r="C144" s="343"/>
      <c r="D144" s="345"/>
    </row>
    <row r="145" ht="22" customHeight="1" spans="1:4" x14ac:dyDescent="0.25">
      <c r="A145" s="343"/>
      <c r="B145" s="344"/>
      <c r="C145" s="343"/>
      <c r="D145" s="345"/>
    </row>
    <row r="146" ht="22" customHeight="1" spans="1:4" x14ac:dyDescent="0.25">
      <c r="A146" s="343"/>
      <c r="B146" s="344"/>
      <c r="C146" s="343"/>
      <c r="D146" s="345"/>
    </row>
    <row r="147" ht="22" customHeight="1" spans="1:4" x14ac:dyDescent="0.25">
      <c r="A147" s="343"/>
      <c r="B147" s="344"/>
      <c r="C147" s="343"/>
      <c r="D147" s="345"/>
    </row>
    <row r="148" ht="22" customHeight="1" spans="1:4" x14ac:dyDescent="0.25">
      <c r="A148" s="343"/>
      <c r="B148" s="344"/>
      <c r="C148" s="343"/>
      <c r="D148" s="345"/>
    </row>
    <row r="149" ht="22" customHeight="1" spans="1:4" x14ac:dyDescent="0.25">
      <c r="A149" s="343"/>
      <c r="B149" s="344"/>
      <c r="C149" s="343"/>
      <c r="D149" s="345"/>
    </row>
    <row r="150" ht="22" customHeight="1" spans="1:4" x14ac:dyDescent="0.25">
      <c r="A150" s="343"/>
      <c r="B150" s="344"/>
      <c r="C150" s="343"/>
      <c r="D150" s="345"/>
    </row>
    <row r="151" ht="22" customHeight="1" spans="1:4" x14ac:dyDescent="0.25">
      <c r="A151" s="343"/>
      <c r="B151" s="344"/>
      <c r="C151" s="343"/>
      <c r="D151" s="345"/>
    </row>
    <row r="152" ht="22" customHeight="1" spans="1:4" x14ac:dyDescent="0.25">
      <c r="A152" s="343"/>
      <c r="B152" s="344"/>
      <c r="C152" s="343"/>
      <c r="D152" s="345"/>
    </row>
    <row r="153" ht="22" customHeight="1" spans="1:4" x14ac:dyDescent="0.25">
      <c r="A153" s="343"/>
      <c r="B153" s="344"/>
      <c r="C153" s="343"/>
      <c r="D153" s="345"/>
    </row>
    <row r="154" ht="22" customHeight="1" spans="1:4" x14ac:dyDescent="0.25">
      <c r="A154" s="343"/>
      <c r="B154" s="344"/>
      <c r="C154" s="343"/>
      <c r="D154" s="345"/>
    </row>
    <row r="155" ht="22" customHeight="1" spans="1:4" x14ac:dyDescent="0.25">
      <c r="A155" s="343"/>
      <c r="B155" s="344"/>
      <c r="C155" s="343"/>
      <c r="D155" s="345"/>
    </row>
    <row r="156" ht="22" customHeight="1" spans="1:4" x14ac:dyDescent="0.25">
      <c r="A156" s="343"/>
      <c r="B156" s="344"/>
      <c r="C156" s="343"/>
      <c r="D156" s="345"/>
    </row>
    <row r="157" ht="22" customHeight="1" spans="1:4" x14ac:dyDescent="0.25">
      <c r="A157" s="343"/>
      <c r="B157" s="344"/>
      <c r="C157" s="343"/>
      <c r="D157" s="345"/>
    </row>
    <row r="158" ht="22" customHeight="1" spans="1:4" x14ac:dyDescent="0.25">
      <c r="A158" s="343"/>
      <c r="B158" s="344"/>
      <c r="C158" s="343"/>
      <c r="D158" s="345"/>
    </row>
    <row r="159" ht="22" customHeight="1" spans="1:4" x14ac:dyDescent="0.25">
      <c r="A159" s="343"/>
      <c r="B159" s="344"/>
      <c r="C159" s="343"/>
      <c r="D159" s="345"/>
    </row>
    <row r="160" ht="22" customHeight="1" spans="1:4" x14ac:dyDescent="0.25">
      <c r="A160" s="343"/>
      <c r="B160" s="344"/>
      <c r="C160" s="343"/>
      <c r="D160" s="345"/>
    </row>
    <row r="161" ht="22" customHeight="1" spans="1:4" x14ac:dyDescent="0.25">
      <c r="A161" s="343"/>
      <c r="B161" s="344"/>
      <c r="C161" s="343"/>
      <c r="D161" s="345"/>
    </row>
    <row r="162" ht="22" customHeight="1" spans="1:4" x14ac:dyDescent="0.25">
      <c r="A162" s="343"/>
      <c r="B162" s="344"/>
      <c r="C162" s="343"/>
      <c r="D162" s="345"/>
    </row>
    <row r="163" ht="22" customHeight="1" spans="1:4" x14ac:dyDescent="0.25">
      <c r="A163" s="343"/>
      <c r="B163" s="344"/>
      <c r="C163" s="343"/>
      <c r="D163" s="345"/>
    </row>
    <row r="164" ht="22" customHeight="1" spans="1:4" x14ac:dyDescent="0.25">
      <c r="A164" s="343"/>
      <c r="B164" s="344"/>
      <c r="C164" s="343"/>
      <c r="D164" s="345"/>
    </row>
    <row r="165" ht="22" customHeight="1" spans="1:4" x14ac:dyDescent="0.25">
      <c r="A165" s="343"/>
      <c r="B165" s="344"/>
      <c r="C165" s="343"/>
      <c r="D165" s="345"/>
    </row>
    <row r="166" ht="22" customHeight="1" spans="1:4" x14ac:dyDescent="0.25">
      <c r="A166" s="343"/>
      <c r="B166" s="344"/>
      <c r="C166" s="343"/>
      <c r="D166" s="345"/>
    </row>
    <row r="167" ht="22" customHeight="1" spans="1:4" x14ac:dyDescent="0.25">
      <c r="A167" s="343"/>
      <c r="B167" s="344"/>
      <c r="C167" s="343"/>
      <c r="D167" s="345"/>
    </row>
    <row r="168" ht="22" customHeight="1" spans="1:4" x14ac:dyDescent="0.25">
      <c r="A168" s="343"/>
      <c r="B168" s="344"/>
      <c r="C168" s="343"/>
      <c r="D168" s="345"/>
    </row>
    <row r="169" ht="22" customHeight="1" spans="1:4" x14ac:dyDescent="0.25">
      <c r="A169" s="343"/>
      <c r="B169" s="344"/>
      <c r="C169" s="343"/>
      <c r="D169" s="345"/>
    </row>
    <row r="170" ht="22" customHeight="1" spans="1:4" x14ac:dyDescent="0.25">
      <c r="A170" s="343"/>
      <c r="B170" s="344"/>
      <c r="C170" s="343"/>
      <c r="D170" s="345"/>
    </row>
    <row r="171" ht="22" customHeight="1" spans="1:4" x14ac:dyDescent="0.25">
      <c r="A171" s="343"/>
      <c r="B171" s="344"/>
      <c r="C171" s="343"/>
      <c r="D171" s="345"/>
    </row>
    <row r="172" ht="22" customHeight="1" spans="1:4" x14ac:dyDescent="0.25">
      <c r="A172" s="343"/>
      <c r="B172" s="344"/>
      <c r="C172" s="343"/>
      <c r="D172" s="345"/>
    </row>
    <row r="173" ht="22" customHeight="1" spans="1:4" x14ac:dyDescent="0.25">
      <c r="A173" s="343"/>
      <c r="B173" s="344"/>
      <c r="C173" s="343"/>
      <c r="D173" s="345"/>
    </row>
    <row r="174" ht="22" customHeight="1" spans="1:4" x14ac:dyDescent="0.25">
      <c r="A174" s="343"/>
      <c r="B174" s="344"/>
      <c r="C174" s="343"/>
      <c r="D174" s="345"/>
    </row>
    <row r="175" ht="22" customHeight="1" spans="1:4" x14ac:dyDescent="0.25">
      <c r="A175" s="343"/>
      <c r="B175" s="344"/>
      <c r="C175" s="343"/>
      <c r="D175" s="345"/>
    </row>
    <row r="176" ht="22" customHeight="1" spans="1:4" x14ac:dyDescent="0.25">
      <c r="A176" s="343"/>
      <c r="B176" s="344"/>
      <c r="C176" s="343"/>
      <c r="D176" s="345"/>
    </row>
    <row r="177" ht="22" customHeight="1" spans="1:4" x14ac:dyDescent="0.25">
      <c r="A177" s="343"/>
      <c r="B177" s="344"/>
      <c r="C177" s="343"/>
      <c r="D177" s="345"/>
    </row>
    <row r="178" ht="22" customHeight="1" spans="1:4" x14ac:dyDescent="0.25">
      <c r="A178" s="343"/>
      <c r="B178" s="344"/>
      <c r="C178" s="343"/>
      <c r="D178" s="345"/>
    </row>
    <row r="179" ht="22" customHeight="1" spans="1:4" x14ac:dyDescent="0.25">
      <c r="A179" s="343"/>
      <c r="B179" s="344"/>
      <c r="C179" s="343"/>
      <c r="D179" s="345"/>
    </row>
    <row r="180" ht="22" customHeight="1" spans="1:4" x14ac:dyDescent="0.25">
      <c r="A180" s="343"/>
      <c r="B180" s="344"/>
      <c r="C180" s="343"/>
      <c r="D180" s="345"/>
    </row>
    <row r="181" ht="22" customHeight="1" spans="1:4" x14ac:dyDescent="0.25">
      <c r="A181" s="343"/>
      <c r="B181" s="344"/>
      <c r="C181" s="343"/>
      <c r="D181" s="345"/>
    </row>
    <row r="182" ht="22" customHeight="1" spans="1:4" x14ac:dyDescent="0.25">
      <c r="A182" s="343"/>
      <c r="B182" s="344"/>
      <c r="C182" s="343"/>
      <c r="D182" s="345"/>
    </row>
    <row r="183" ht="22" customHeight="1" spans="1:4" x14ac:dyDescent="0.25">
      <c r="A183" s="343"/>
      <c r="B183" s="344"/>
      <c r="C183" s="343"/>
      <c r="D183" s="345"/>
    </row>
    <row r="184" ht="22" customHeight="1" spans="1:4" x14ac:dyDescent="0.25">
      <c r="A184" s="343"/>
      <c r="B184" s="344"/>
      <c r="C184" s="343"/>
      <c r="D184" s="345"/>
    </row>
    <row r="185" ht="22" customHeight="1" spans="2:4" x14ac:dyDescent="0.25">
      <c r="B185" s="137"/>
      <c r="D185" s="90"/>
    </row>
    <row r="186" ht="22" customHeight="1" spans="2:4" x14ac:dyDescent="0.25">
      <c r="B186" s="137"/>
      <c r="D186" s="90"/>
    </row>
    <row r="187" ht="22" customHeight="1" spans="2:4" x14ac:dyDescent="0.25">
      <c r="B187" s="137"/>
      <c r="D187" s="90"/>
    </row>
    <row r="188" ht="22" customHeight="1" spans="2:4" x14ac:dyDescent="0.25">
      <c r="B188" s="137"/>
      <c r="D188" s="90"/>
    </row>
    <row r="189" ht="22" customHeight="1" spans="2:4" x14ac:dyDescent="0.25">
      <c r="B189" s="137"/>
      <c r="D189" s="90"/>
    </row>
    <row r="190" ht="22" customHeight="1" spans="2:4" x14ac:dyDescent="0.25">
      <c r="B190" s="137"/>
      <c r="D190" s="90"/>
    </row>
    <row r="191" ht="22" customHeight="1" spans="2:4" x14ac:dyDescent="0.25">
      <c r="B191" s="137"/>
      <c r="D191" s="90"/>
    </row>
    <row r="192" ht="22" customHeight="1" spans="2:4" x14ac:dyDescent="0.25">
      <c r="B192" s="137"/>
      <c r="D192" s="90"/>
    </row>
    <row r="193" ht="22" customHeight="1" spans="2:4" x14ac:dyDescent="0.25">
      <c r="B193" s="137"/>
      <c r="D193" s="90"/>
    </row>
    <row r="194" ht="22" customHeight="1" spans="2:4" x14ac:dyDescent="0.25">
      <c r="B194" s="137"/>
      <c r="D194" s="90"/>
    </row>
    <row r="195" ht="22" customHeight="1" spans="2:4" x14ac:dyDescent="0.25">
      <c r="B195" s="137"/>
      <c r="D195" s="90"/>
    </row>
    <row r="196" ht="22" customHeight="1" spans="2:4" x14ac:dyDescent="0.25">
      <c r="B196" s="137"/>
      <c r="D196" s="90"/>
    </row>
    <row r="197" ht="22" customHeight="1" spans="2:4" x14ac:dyDescent="0.25">
      <c r="B197" s="137"/>
      <c r="D197" s="90"/>
    </row>
    <row r="198" ht="22" customHeight="1" spans="2:4" x14ac:dyDescent="0.25">
      <c r="B198" s="137"/>
      <c r="D198" s="90"/>
    </row>
    <row r="199" ht="22" customHeight="1" spans="2:4" x14ac:dyDescent="0.25">
      <c r="B199" s="137"/>
      <c r="D199" s="90"/>
    </row>
    <row r="200" ht="22" customHeight="1" spans="2:4" x14ac:dyDescent="0.25">
      <c r="B200" s="137"/>
      <c r="D200" s="90"/>
    </row>
    <row r="201" ht="22" customHeight="1" spans="2:4" x14ac:dyDescent="0.25">
      <c r="B201" s="137"/>
      <c r="D201" s="90"/>
    </row>
    <row r="202" ht="22" customHeight="1" spans="2:4" x14ac:dyDescent="0.25">
      <c r="B202" s="137"/>
      <c r="D202" s="90"/>
    </row>
    <row r="203" ht="22" customHeight="1" spans="2:4" x14ac:dyDescent="0.25">
      <c r="B203" s="137"/>
      <c r="D203" s="90"/>
    </row>
    <row r="204" ht="22" customHeight="1" spans="2:4" x14ac:dyDescent="0.25">
      <c r="B204" s="137"/>
      <c r="D204" s="90"/>
    </row>
    <row r="205" ht="22" customHeight="1" spans="2:4" x14ac:dyDescent="0.25">
      <c r="B205" s="137"/>
      <c r="D205" s="90"/>
    </row>
    <row r="206" ht="22" customHeight="1" spans="2:4" x14ac:dyDescent="0.25">
      <c r="B206" s="137"/>
      <c r="D206" s="90"/>
    </row>
    <row r="207" ht="22" customHeight="1" spans="2:4" x14ac:dyDescent="0.25">
      <c r="B207" s="137"/>
      <c r="D207" s="90"/>
    </row>
    <row r="208" ht="22" customHeight="1" spans="2:4" x14ac:dyDescent="0.25">
      <c r="B208" s="137"/>
      <c r="D208" s="90"/>
    </row>
    <row r="209" ht="22" customHeight="1" spans="2:4" x14ac:dyDescent="0.25">
      <c r="B209" s="137"/>
      <c r="D209" s="90"/>
    </row>
    <row r="210" ht="22" customHeight="1" spans="2:4" x14ac:dyDescent="0.25">
      <c r="B210" s="137"/>
      <c r="D210" s="90"/>
    </row>
    <row r="211" ht="22" customHeight="1" spans="2:4" x14ac:dyDescent="0.25">
      <c r="B211" s="137"/>
      <c r="D211" s="90"/>
    </row>
    <row r="212" ht="22" customHeight="1" spans="2:4" x14ac:dyDescent="0.25">
      <c r="B212" s="137"/>
      <c r="D212" s="90"/>
    </row>
    <row r="213" ht="22" customHeight="1" spans="2:4" x14ac:dyDescent="0.25">
      <c r="B213" s="137"/>
      <c r="D213" s="90"/>
    </row>
    <row r="214" ht="22" customHeight="1" spans="2:4" x14ac:dyDescent="0.25">
      <c r="B214" s="137"/>
      <c r="D214" s="90"/>
    </row>
    <row r="215" ht="22" customHeight="1" spans="2:4" x14ac:dyDescent="0.25">
      <c r="B215" s="137"/>
      <c r="D215" s="90"/>
    </row>
    <row r="216" ht="22" customHeight="1" spans="2:4" x14ac:dyDescent="0.25">
      <c r="B216" s="137"/>
      <c r="D216" s="90"/>
    </row>
    <row r="217" ht="22" customHeight="1" spans="2:4" x14ac:dyDescent="0.25">
      <c r="B217" s="137"/>
      <c r="D217" s="90"/>
    </row>
    <row r="218" ht="22" customHeight="1" spans="2:4" x14ac:dyDescent="0.25">
      <c r="B218" s="137"/>
      <c r="D218" s="90"/>
    </row>
    <row r="219" ht="22" customHeight="1" spans="2:4" x14ac:dyDescent="0.25">
      <c r="B219" s="137"/>
      <c r="D219" s="90"/>
    </row>
    <row r="220" ht="22" customHeight="1" spans="2:4" x14ac:dyDescent="0.25">
      <c r="B220" s="137"/>
      <c r="D220" s="90"/>
    </row>
    <row r="221" ht="22" customHeight="1" spans="2:4" x14ac:dyDescent="0.25">
      <c r="B221" s="137"/>
      <c r="D221" s="90"/>
    </row>
    <row r="222" ht="22" customHeight="1" spans="2:4" x14ac:dyDescent="0.25">
      <c r="B222" s="137"/>
      <c r="D222" s="90"/>
    </row>
    <row r="223" ht="22" customHeight="1" spans="2:4" x14ac:dyDescent="0.25">
      <c r="B223" s="137"/>
      <c r="D223" s="90"/>
    </row>
    <row r="224" ht="22" customHeight="1" spans="2:4" x14ac:dyDescent="0.25">
      <c r="B224" s="137"/>
      <c r="D224" s="90"/>
    </row>
    <row r="225" ht="22" customHeight="1" spans="2:4" x14ac:dyDescent="0.25">
      <c r="B225" s="137"/>
      <c r="D225" s="90"/>
    </row>
    <row r="226" ht="22" customHeight="1" spans="2:4" x14ac:dyDescent="0.25">
      <c r="B226" s="137"/>
      <c r="D226" s="90"/>
    </row>
    <row r="227" ht="22" customHeight="1" spans="2:4" x14ac:dyDescent="0.25">
      <c r="B227" s="137"/>
      <c r="D227" s="90"/>
    </row>
    <row r="228" ht="22" customHeight="1" spans="2:4" x14ac:dyDescent="0.25">
      <c r="B228" s="137"/>
      <c r="D228" s="90"/>
    </row>
    <row r="229" ht="22" customHeight="1" spans="2:4" x14ac:dyDescent="0.25">
      <c r="B229" s="137"/>
      <c r="D229" s="90"/>
    </row>
    <row r="230" ht="22" customHeight="1" spans="2:4" x14ac:dyDescent="0.25">
      <c r="B230" s="137"/>
      <c r="D230" s="90"/>
    </row>
    <row r="231" ht="22" customHeight="1" spans="2:4" x14ac:dyDescent="0.25">
      <c r="B231" s="137"/>
      <c r="D231" s="90"/>
    </row>
    <row r="232" ht="22" customHeight="1" spans="2:4" x14ac:dyDescent="0.25">
      <c r="B232" s="137"/>
      <c r="D232" s="90"/>
    </row>
    <row r="233" ht="22" customHeight="1" spans="2:4" x14ac:dyDescent="0.25">
      <c r="B233" s="137"/>
      <c r="D233" s="90"/>
    </row>
    <row r="234" ht="22" customHeight="1" spans="2:4" x14ac:dyDescent="0.25">
      <c r="B234" s="137"/>
      <c r="D234" s="90"/>
    </row>
    <row r="235" ht="22" customHeight="1" spans="2:4" x14ac:dyDescent="0.25">
      <c r="B235" s="137"/>
      <c r="D235" s="90"/>
    </row>
    <row r="236" ht="22" customHeight="1" spans="2:4" x14ac:dyDescent="0.25">
      <c r="B236" s="137"/>
      <c r="D236" s="90"/>
    </row>
    <row r="237" ht="22" customHeight="1" spans="2:4" x14ac:dyDescent="0.25">
      <c r="B237" s="137"/>
      <c r="D237" s="90"/>
    </row>
    <row r="238" ht="22" customHeight="1" spans="2:4" x14ac:dyDescent="0.25">
      <c r="B238" s="137"/>
      <c r="D238" s="90"/>
    </row>
    <row r="239" ht="22" customHeight="1" spans="2:4" x14ac:dyDescent="0.25">
      <c r="B239" s="137"/>
      <c r="D239" s="90"/>
    </row>
    <row r="240" ht="22" customHeight="1" spans="2:4" x14ac:dyDescent="0.25">
      <c r="B240" s="137"/>
      <c r="D240" s="90"/>
    </row>
    <row r="241" ht="22" customHeight="1" spans="2:4" x14ac:dyDescent="0.25">
      <c r="B241" s="137"/>
      <c r="D241" s="90"/>
    </row>
    <row r="242" ht="22" customHeight="1" spans="2:4" x14ac:dyDescent="0.25">
      <c r="B242" s="137"/>
      <c r="D242" s="90"/>
    </row>
    <row r="243" ht="22" customHeight="1" spans="2:4" x14ac:dyDescent="0.25">
      <c r="B243" s="137"/>
      <c r="D243" s="90"/>
    </row>
    <row r="244" ht="22" customHeight="1" spans="2:4" x14ac:dyDescent="0.25">
      <c r="B244" s="137"/>
      <c r="D244" s="90"/>
    </row>
    <row r="245" ht="22" customHeight="1" spans="2:4" x14ac:dyDescent="0.25">
      <c r="B245" s="137"/>
      <c r="D245" s="90"/>
    </row>
    <row r="246" ht="22" customHeight="1" spans="2:4" x14ac:dyDescent="0.25">
      <c r="B246" s="137"/>
      <c r="D246" s="90"/>
    </row>
    <row r="247" ht="22" customHeight="1" spans="2:4" x14ac:dyDescent="0.25">
      <c r="B247" s="137"/>
      <c r="D247" s="90"/>
    </row>
    <row r="248" ht="22" customHeight="1" spans="2:4" x14ac:dyDescent="0.25">
      <c r="B248" s="137"/>
      <c r="D248" s="90"/>
    </row>
    <row r="249" ht="22" customHeight="1" spans="2:4" x14ac:dyDescent="0.25">
      <c r="B249" s="137"/>
      <c r="D249" s="90"/>
    </row>
    <row r="250" ht="22" customHeight="1" spans="2:4" x14ac:dyDescent="0.25">
      <c r="B250" s="137"/>
      <c r="D250" s="90"/>
    </row>
    <row r="251" ht="22" customHeight="1" x14ac:dyDescent="0.25"/>
    <row r="252" ht="22" customHeight="1" x14ac:dyDescent="0.25"/>
    <row r="253" ht="22" customHeight="1" x14ac:dyDescent="0.25"/>
    <row r="254" ht="22" customHeight="1" x14ac:dyDescent="0.25"/>
    <row r="255" ht="22" customHeight="1" x14ac:dyDescent="0.25"/>
    <row r="256" ht="22" customHeight="1" x14ac:dyDescent="0.25"/>
    <row r="257" ht="22" customHeight="1" x14ac:dyDescent="0.25"/>
    <row r="258" ht="22" customHeight="1" x14ac:dyDescent="0.25"/>
    <row r="259" ht="22" customHeight="1" x14ac:dyDescent="0.25"/>
    <row r="260" ht="22" customHeight="1" x14ac:dyDescent="0.25"/>
    <row r="261" ht="22" customHeight="1" x14ac:dyDescent="0.25"/>
    <row r="262" ht="22" customHeight="1" x14ac:dyDescent="0.25"/>
    <row r="263" ht="22" customHeight="1" x14ac:dyDescent="0.25"/>
    <row r="264" ht="22" customHeight="1" x14ac:dyDescent="0.25"/>
    <row r="265" ht="22" customHeight="1" x14ac:dyDescent="0.25"/>
    <row r="266" ht="22" customHeight="1" x14ac:dyDescent="0.25"/>
    <row r="267" ht="22" customHeight="1" x14ac:dyDescent="0.25"/>
    <row r="268" ht="22" customHeight="1" x14ac:dyDescent="0.25"/>
    <row r="269" ht="22" customHeight="1" x14ac:dyDescent="0.25"/>
    <row r="270" ht="22" customHeight="1" x14ac:dyDescent="0.25"/>
    <row r="271" ht="22" customHeight="1" x14ac:dyDescent="0.25"/>
    <row r="272" ht="22" customHeight="1" x14ac:dyDescent="0.25"/>
    <row r="273" ht="22" customHeight="1" x14ac:dyDescent="0.25"/>
    <row r="274" ht="22" customHeight="1" x14ac:dyDescent="0.25"/>
    <row r="275" ht="22" customHeight="1" x14ac:dyDescent="0.25"/>
    <row r="276" ht="22" customHeight="1" x14ac:dyDescent="0.25"/>
    <row r="277" ht="22" customHeight="1" x14ac:dyDescent="0.25"/>
    <row r="278" ht="22" customHeight="1" x14ac:dyDescent="0.25"/>
    <row r="279" ht="22" customHeight="1" x14ac:dyDescent="0.25"/>
    <row r="280" ht="22" customHeight="1" x14ac:dyDescent="0.25"/>
    <row r="281" ht="22" customHeight="1" x14ac:dyDescent="0.25"/>
    <row r="282" ht="22" customHeight="1" x14ac:dyDescent="0.25"/>
    <row r="283" ht="22" customHeight="1" x14ac:dyDescent="0.25"/>
    <row r="284" ht="22" customHeight="1" x14ac:dyDescent="0.25"/>
    <row r="285" ht="22" customHeight="1" x14ac:dyDescent="0.25"/>
    <row r="286" ht="22" customHeight="1" x14ac:dyDescent="0.25"/>
    <row r="287" ht="22" customHeight="1" x14ac:dyDescent="0.25"/>
    <row r="288" ht="22" customHeight="1" x14ac:dyDescent="0.25"/>
    <row r="289" ht="22" customHeight="1" x14ac:dyDescent="0.25"/>
    <row r="290" ht="22" customHeight="1" x14ac:dyDescent="0.25"/>
    <row r="291" ht="22" customHeight="1" x14ac:dyDescent="0.25"/>
    <row r="292" ht="22" customHeight="1" x14ac:dyDescent="0.25"/>
    <row r="293" ht="22" customHeight="1" x14ac:dyDescent="0.25"/>
    <row r="294" ht="22" customHeight="1" x14ac:dyDescent="0.25"/>
    <row r="295" ht="22" customHeight="1" x14ac:dyDescent="0.25"/>
    <row r="296" ht="22" customHeight="1" x14ac:dyDescent="0.25"/>
    <row r="297" ht="22" customHeight="1" x14ac:dyDescent="0.25"/>
  </sheetData>
  <pageMargins left="0.7" right="0.7" top="0.75" bottom="0.75" header="0.3" footer="0.3"/>
  <pageSetup paperSize="9" orientation="portrait" horizontalDpi="0" verticalDpi="0" scale="100" fitToWidth="1" fitToHeight="1" firstPageNumber="1" useFirstPageNumber="1" copies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40"/>
  <sheetViews>
    <sheetView workbookViewId="0" zoomScale="114" zoomScaleNormal="100">
      <selection activeCell="D32" sqref="D32"/>
    </sheetView>
  </sheetViews>
  <sheetFormatPr defaultRowHeight="15" outlineLevelRow="0" outlineLevelCol="0" x14ac:dyDescent="0" defaultColWidth="8.83203125"/>
  <cols>
    <col min="1" max="1" width="22.1640625" customWidth="1"/>
    <col min="2" max="2" width="24.83203125" style="294" customWidth="1"/>
    <col min="3" max="3" width="20.33203125" customWidth="1"/>
    <col min="4" max="5" width="22.1640625" customWidth="1"/>
    <col min="6" max="6" width="34.33203125" customWidth="1"/>
  </cols>
  <sheetData>
    <row r="1" ht="28" customHeight="1" spans="1:6" x14ac:dyDescent="0.25">
      <c r="A1" s="297" t="s">
        <v>0</v>
      </c>
      <c r="B1" s="296" t="s">
        <v>546</v>
      </c>
      <c r="C1" s="297" t="s">
        <v>575</v>
      </c>
      <c r="D1" s="297" t="s">
        <v>577</v>
      </c>
      <c r="E1" s="297" t="s">
        <v>549</v>
      </c>
      <c r="F1" s="298" t="s">
        <v>13</v>
      </c>
    </row>
    <row r="2" ht="24.75" customHeight="1" spans="1:6" x14ac:dyDescent="0.25">
      <c r="A2" s="42">
        <v>45962</v>
      </c>
      <c r="B2" s="299">
        <v>45975</v>
      </c>
      <c r="C2" s="301" t="s">
        <v>842</v>
      </c>
      <c r="D2" s="302">
        <v>200</v>
      </c>
      <c r="E2" s="301" t="s">
        <v>843</v>
      </c>
      <c r="F2" s="315" t="s">
        <v>844</v>
      </c>
    </row>
    <row r="3" ht="24.75" customHeight="1" spans="1:6" x14ac:dyDescent="0.25">
      <c r="A3" s="42">
        <v>45962</v>
      </c>
      <c r="B3" s="299">
        <v>45988</v>
      </c>
      <c r="C3" s="301" t="s">
        <v>845</v>
      </c>
      <c r="D3" s="302">
        <v>164.32</v>
      </c>
      <c r="E3" s="301" t="s">
        <v>127</v>
      </c>
      <c r="F3" s="346" t="s">
        <v>846</v>
      </c>
    </row>
    <row r="4" ht="24.75" customHeight="1" spans="1:6" x14ac:dyDescent="0.25">
      <c r="A4" s="76">
        <v>45962</v>
      </c>
      <c r="B4" s="299"/>
      <c r="C4" s="301"/>
      <c r="D4" s="302"/>
      <c r="E4" s="301"/>
      <c r="F4" s="346"/>
    </row>
    <row r="5" ht="24.75" customHeight="1" spans="1:6" x14ac:dyDescent="0.25">
      <c r="A5" s="76">
        <v>45962</v>
      </c>
      <c r="B5" s="299"/>
      <c r="C5" s="340" t="s">
        <v>847</v>
      </c>
      <c r="D5" s="341">
        <f>SUM(D2:D3)</f>
        <v>364.32</v>
      </c>
      <c r="E5" s="301"/>
      <c r="F5" s="315"/>
    </row>
    <row r="6" ht="24.75" customHeight="1" spans="1:6" x14ac:dyDescent="0.25">
      <c r="A6" s="80">
        <v>45962</v>
      </c>
      <c r="B6" s="334"/>
      <c r="C6" s="335"/>
      <c r="D6" s="335"/>
      <c r="E6" s="335"/>
      <c r="F6" s="347"/>
    </row>
    <row r="7" ht="24.75" customHeight="1" spans="1:6" x14ac:dyDescent="0.25">
      <c r="A7" s="42">
        <v>45992</v>
      </c>
      <c r="B7" s="299"/>
      <c r="C7" s="302" t="s">
        <v>848</v>
      </c>
      <c r="D7" s="302">
        <v>395</v>
      </c>
      <c r="E7" s="301"/>
      <c r="F7" s="315" t="s">
        <v>849</v>
      </c>
    </row>
    <row r="8" ht="24.75" customHeight="1" spans="1:6" x14ac:dyDescent="0.25">
      <c r="A8" s="42">
        <v>46011</v>
      </c>
      <c r="B8" s="299">
        <v>46011</v>
      </c>
      <c r="C8" s="302" t="s">
        <v>850</v>
      </c>
      <c r="D8" s="302">
        <f>300-31.72</f>
        <v>268.28</v>
      </c>
      <c r="E8" s="301"/>
      <c r="F8" s="315"/>
    </row>
    <row r="9" ht="25" customHeight="1" spans="1:6" x14ac:dyDescent="0.25">
      <c r="A9" s="42">
        <v>46011</v>
      </c>
      <c r="B9" s="299"/>
      <c r="C9" s="301"/>
      <c r="D9" s="302"/>
      <c r="E9" s="301"/>
      <c r="F9" s="315"/>
    </row>
    <row r="10" ht="25" customHeight="1" spans="1:6" x14ac:dyDescent="0.25">
      <c r="A10" s="42">
        <v>46011</v>
      </c>
      <c r="B10" s="299"/>
      <c r="C10" s="340" t="s">
        <v>847</v>
      </c>
      <c r="D10" s="341">
        <f>SUM(D7:D9)</f>
        <v>663.28</v>
      </c>
      <c r="E10" s="301"/>
      <c r="F10" s="315"/>
    </row>
    <row r="11" ht="25" customHeight="1" spans="1:6" x14ac:dyDescent="0.25">
      <c r="A11" s="53">
        <v>46011</v>
      </c>
      <c r="B11" s="311"/>
      <c r="C11" s="313"/>
      <c r="D11" s="313"/>
      <c r="E11" s="312"/>
      <c r="F11" s="314"/>
    </row>
    <row r="12" ht="25" customHeight="1" spans="1:6" x14ac:dyDescent="0.25">
      <c r="A12" s="42">
        <v>46023</v>
      </c>
      <c r="B12" s="299"/>
      <c r="C12" s="302"/>
      <c r="D12" s="302">
        <v>250</v>
      </c>
      <c r="E12" s="301"/>
      <c r="F12" s="315" t="s">
        <v>851</v>
      </c>
    </row>
    <row r="13" ht="25" customHeight="1" spans="1:6" x14ac:dyDescent="0.25">
      <c r="A13" s="42">
        <v>46023</v>
      </c>
      <c r="B13" s="299"/>
      <c r="C13" s="302"/>
      <c r="D13" s="302"/>
      <c r="E13" s="301"/>
      <c r="F13" s="315"/>
    </row>
    <row r="14" ht="25" customHeight="1" spans="1:6" x14ac:dyDescent="0.25">
      <c r="A14" s="42">
        <v>46023</v>
      </c>
      <c r="B14" s="299"/>
      <c r="C14" s="302"/>
      <c r="D14" s="302"/>
      <c r="E14" s="301"/>
      <c r="F14" s="315"/>
    </row>
    <row r="15" ht="25" customHeight="1" spans="1:6" x14ac:dyDescent="0.25">
      <c r="A15" s="42">
        <v>46023</v>
      </c>
      <c r="B15" s="299"/>
      <c r="C15" s="340" t="s">
        <v>847</v>
      </c>
      <c r="D15" s="341">
        <f>SUM(D12:D14)</f>
        <v>250</v>
      </c>
      <c r="E15" s="301"/>
      <c r="F15" s="315"/>
    </row>
    <row r="16" ht="25" customHeight="1" spans="1:6" x14ac:dyDescent="0.25">
      <c r="A16" s="53">
        <v>46023</v>
      </c>
      <c r="B16" s="311"/>
      <c r="C16" s="313"/>
      <c r="D16" s="313"/>
      <c r="E16" s="312"/>
      <c r="F16" s="314"/>
    </row>
    <row r="17" ht="25" customHeight="1" spans="1:6" x14ac:dyDescent="0.25">
      <c r="A17" s="42">
        <v>46054</v>
      </c>
      <c r="B17" s="299"/>
      <c r="C17" s="302" t="s">
        <v>850</v>
      </c>
      <c r="D17" s="302">
        <v>357.01</v>
      </c>
      <c r="E17" s="301"/>
      <c r="F17" s="315" t="s">
        <v>852</v>
      </c>
    </row>
    <row r="18" ht="25" customHeight="1" spans="1:6" x14ac:dyDescent="0.25">
      <c r="A18" s="42">
        <v>46054</v>
      </c>
      <c r="B18" s="299"/>
      <c r="C18" s="302"/>
      <c r="D18" s="302">
        <v>99</v>
      </c>
      <c r="E18" s="301" t="s">
        <v>853</v>
      </c>
      <c r="F18" s="46" t="s">
        <v>854</v>
      </c>
    </row>
    <row r="19" ht="25" customHeight="1" spans="1:6" x14ac:dyDescent="0.25">
      <c r="A19" s="42">
        <v>46054</v>
      </c>
      <c r="B19" s="299"/>
      <c r="C19" s="302"/>
      <c r="D19" s="302">
        <f>151+99</f>
        <v>250</v>
      </c>
      <c r="E19" s="348" t="s">
        <v>193</v>
      </c>
      <c r="F19" s="46" t="s">
        <v>855</v>
      </c>
    </row>
    <row r="20" ht="25" customHeight="1" spans="1:6" x14ac:dyDescent="0.25">
      <c r="A20" s="42">
        <v>46054</v>
      </c>
      <c r="B20" s="299"/>
      <c r="C20" s="302"/>
      <c r="D20" s="302">
        <v>99</v>
      </c>
      <c r="E20" s="44" t="s">
        <v>211</v>
      </c>
      <c r="F20" s="349" t="s">
        <v>854</v>
      </c>
    </row>
    <row r="21" ht="25" customHeight="1" spans="1:6" x14ac:dyDescent="0.25">
      <c r="A21" s="42">
        <v>46054</v>
      </c>
      <c r="B21" s="299"/>
      <c r="C21" s="302"/>
      <c r="D21" s="302">
        <v>75.94</v>
      </c>
      <c r="E21" s="301"/>
      <c r="F21" s="349" t="s">
        <v>856</v>
      </c>
    </row>
    <row r="22" ht="25" customHeight="1" spans="1:6" x14ac:dyDescent="0.25">
      <c r="A22" s="42">
        <v>46054</v>
      </c>
      <c r="B22" s="299"/>
      <c r="C22" s="302"/>
      <c r="D22" s="302">
        <v>700</v>
      </c>
      <c r="E22" s="301" t="s">
        <v>857</v>
      </c>
      <c r="F22" s="349" t="s">
        <v>858</v>
      </c>
    </row>
    <row r="23" ht="25" customHeight="1" spans="1:6" x14ac:dyDescent="0.25">
      <c r="A23" s="42">
        <v>46054</v>
      </c>
      <c r="B23" s="299"/>
      <c r="C23" s="302"/>
      <c r="D23" s="302"/>
      <c r="E23" s="301"/>
      <c r="F23" s="349"/>
    </row>
    <row r="24" ht="25" customHeight="1" spans="1:6" x14ac:dyDescent="0.25">
      <c r="A24" s="42">
        <v>46054</v>
      </c>
      <c r="B24" s="299"/>
      <c r="C24" s="340" t="s">
        <v>847</v>
      </c>
      <c r="D24" s="341">
        <f>SUM(D17:D23)</f>
        <v>1580.95</v>
      </c>
      <c r="E24" s="301"/>
      <c r="F24" s="315"/>
    </row>
    <row r="25" ht="25" customHeight="1" spans="1:6" x14ac:dyDescent="0.25">
      <c r="A25" s="53">
        <v>46054</v>
      </c>
      <c r="B25" s="350"/>
      <c r="C25" s="351"/>
      <c r="D25" s="351"/>
      <c r="E25" s="352"/>
      <c r="F25" s="353"/>
    </row>
    <row r="26" ht="26" customHeight="1" spans="1:6" x14ac:dyDescent="0.25">
      <c r="A26" s="42">
        <v>46082</v>
      </c>
      <c r="B26" s="299"/>
      <c r="C26" s="302"/>
      <c r="D26" s="302">
        <v>99</v>
      </c>
      <c r="E26" s="44" t="s">
        <v>211</v>
      </c>
      <c r="F26" s="46" t="s">
        <v>854</v>
      </c>
    </row>
    <row r="27" ht="26" customHeight="1" spans="1:6" x14ac:dyDescent="0.25">
      <c r="A27" s="42">
        <v>46082</v>
      </c>
      <c r="B27" s="299"/>
      <c r="C27" s="302"/>
      <c r="D27" s="302">
        <v>99</v>
      </c>
      <c r="E27" s="301" t="s">
        <v>859</v>
      </c>
      <c r="F27" s="46" t="s">
        <v>854</v>
      </c>
    </row>
    <row r="28" ht="26" customHeight="1" spans="1:6" x14ac:dyDescent="0.25">
      <c r="A28" s="42">
        <v>46082</v>
      </c>
      <c r="B28" s="299"/>
      <c r="C28" s="302"/>
      <c r="D28" s="302">
        <v>99</v>
      </c>
      <c r="E28" s="44" t="s">
        <v>228</v>
      </c>
      <c r="F28" s="46" t="s">
        <v>854</v>
      </c>
    </row>
    <row r="29" ht="26" customHeight="1" spans="1:6" x14ac:dyDescent="0.25">
      <c r="A29" s="42">
        <v>46082</v>
      </c>
      <c r="B29" s="299"/>
      <c r="C29" s="302"/>
      <c r="D29" s="302"/>
      <c r="E29" s="301"/>
      <c r="F29" s="315"/>
    </row>
    <row r="30" ht="26" customHeight="1" spans="1:6" x14ac:dyDescent="0.25">
      <c r="A30" s="42">
        <v>46082</v>
      </c>
      <c r="B30" s="299"/>
      <c r="C30" s="340" t="s">
        <v>847</v>
      </c>
      <c r="D30" s="341">
        <f>SUM(D26:D29)</f>
        <v>297</v>
      </c>
      <c r="E30" s="301"/>
      <c r="F30" s="315"/>
    </row>
    <row r="31" ht="26" customHeight="1" spans="1:6" x14ac:dyDescent="0.25">
      <c r="A31" s="53">
        <v>46082</v>
      </c>
      <c r="B31" s="311"/>
      <c r="C31" s="313"/>
      <c r="D31" s="313"/>
      <c r="E31" s="312"/>
      <c r="F31" s="314"/>
    </row>
    <row r="32" ht="26" customHeight="1" spans="1:6" x14ac:dyDescent="0.25">
      <c r="A32" s="42">
        <v>46113</v>
      </c>
      <c r="B32" s="299"/>
      <c r="C32" s="302"/>
      <c r="D32" s="302">
        <f>99+80</f>
        <v>179</v>
      </c>
      <c r="E32" s="44" t="s">
        <v>249</v>
      </c>
      <c r="F32" s="46" t="s">
        <v>860</v>
      </c>
    </row>
    <row r="33" ht="26" customHeight="1" spans="1:6" x14ac:dyDescent="0.25">
      <c r="A33" s="42">
        <v>46113</v>
      </c>
      <c r="B33" s="299"/>
      <c r="C33" s="302"/>
      <c r="D33" s="302"/>
      <c r="E33" s="301"/>
      <c r="F33" s="315"/>
    </row>
    <row r="34" ht="26" customHeight="1" spans="1:6" x14ac:dyDescent="0.25">
      <c r="A34" s="42">
        <v>46113</v>
      </c>
      <c r="B34" s="299"/>
      <c r="C34" s="302"/>
      <c r="D34" s="302"/>
      <c r="E34" s="301"/>
      <c r="F34" s="315"/>
    </row>
    <row r="35" ht="26" customHeight="1" spans="1:6" x14ac:dyDescent="0.25">
      <c r="A35" s="42">
        <v>46113</v>
      </c>
      <c r="B35" s="299"/>
      <c r="C35" s="302"/>
      <c r="D35" s="302"/>
      <c r="E35" s="301" t="s">
        <v>861</v>
      </c>
      <c r="F35" s="315"/>
    </row>
    <row r="36" ht="26" customHeight="1" spans="1:6" x14ac:dyDescent="0.25">
      <c r="A36" s="42">
        <v>46113</v>
      </c>
      <c r="B36" s="299"/>
      <c r="C36" s="340" t="s">
        <v>847</v>
      </c>
      <c r="D36" s="341">
        <f>SUBTOTAL(109,D32:D35)</f>
        <v>179</v>
      </c>
      <c r="E36" s="301"/>
      <c r="F36" s="315"/>
    </row>
    <row r="37" ht="26" customHeight="1" spans="1:6" x14ac:dyDescent="0.25">
      <c r="A37" s="42"/>
      <c r="B37" s="299"/>
      <c r="C37" s="302"/>
      <c r="D37" s="302"/>
      <c r="E37" s="301"/>
      <c r="F37" s="315"/>
    </row>
    <row r="38" ht="26" customHeight="1" spans="1:6" x14ac:dyDescent="0.25">
      <c r="A38" s="42"/>
      <c r="B38" s="299"/>
      <c r="C38" s="302"/>
      <c r="D38" s="302"/>
      <c r="E38" s="301"/>
      <c r="F38" s="315"/>
    </row>
    <row r="39" ht="26" customHeight="1" spans="1:6" x14ac:dyDescent="0.25">
      <c r="A39" s="42"/>
      <c r="B39" s="299"/>
      <c r="C39" s="302"/>
      <c r="D39" s="302"/>
      <c r="E39" s="301"/>
      <c r="F39" s="315"/>
    </row>
    <row r="40" ht="26" customHeight="1" spans="1:6" x14ac:dyDescent="0.25">
      <c r="A40" s="354"/>
      <c r="B40" s="355"/>
      <c r="C40" s="356"/>
      <c r="D40" s="356"/>
      <c r="E40" s="357"/>
      <c r="F40" s="358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52"/>
  <sheetViews>
    <sheetView workbookViewId="0" zoomScale="80" zoomScaleNormal="100">
      <selection activeCell="C43" sqref="C43"/>
    </sheetView>
  </sheetViews>
  <sheetFormatPr defaultRowHeight="15" outlineLevelRow="0" outlineLevelCol="0" x14ac:dyDescent="0" defaultColWidth="8.83203125"/>
  <cols>
    <col min="1" max="1" width="28.1640625" customWidth="1"/>
    <col min="2" max="2" width="28.1640625" style="90" customWidth="1"/>
    <col min="3" max="4" width="28.1640625" customWidth="1"/>
  </cols>
  <sheetData>
    <row r="1" ht="21" customHeight="1" spans="1:4" x14ac:dyDescent="0.25">
      <c r="A1" s="276" t="s">
        <v>0</v>
      </c>
      <c r="B1" s="276" t="s">
        <v>577</v>
      </c>
      <c r="C1" s="276" t="s">
        <v>862</v>
      </c>
      <c r="D1" s="276" t="s">
        <v>547</v>
      </c>
    </row>
    <row r="2" ht="25.5" customHeight="1" spans="1:4" x14ac:dyDescent="0.25">
      <c r="A2" s="42">
        <v>45962</v>
      </c>
      <c r="B2" s="302">
        <v>2600</v>
      </c>
      <c r="C2" s="301" t="s">
        <v>700</v>
      </c>
      <c r="D2" s="301" t="s">
        <v>752</v>
      </c>
    </row>
    <row r="3" ht="25.5" customHeight="1" spans="1:4" x14ac:dyDescent="0.25">
      <c r="A3" s="42">
        <v>45962</v>
      </c>
      <c r="B3" s="302">
        <v>20</v>
      </c>
      <c r="C3" s="359" t="s">
        <v>108</v>
      </c>
      <c r="D3" s="301" t="s">
        <v>863</v>
      </c>
    </row>
    <row r="4" ht="25.5" customHeight="1" spans="1:4" x14ac:dyDescent="0.25">
      <c r="A4" s="42">
        <v>45962</v>
      </c>
      <c r="B4" s="302">
        <v>45</v>
      </c>
      <c r="C4" s="301"/>
      <c r="D4" s="301" t="s">
        <v>864</v>
      </c>
    </row>
    <row r="5" ht="25.5" customHeight="1" spans="1:4" x14ac:dyDescent="0.25">
      <c r="A5" s="42">
        <v>45962</v>
      </c>
      <c r="B5" s="302"/>
      <c r="C5" s="301"/>
      <c r="D5" s="360"/>
    </row>
    <row r="6" ht="24.5" customHeight="1" spans="1:4" x14ac:dyDescent="0.25">
      <c r="A6" s="53">
        <v>45962</v>
      </c>
      <c r="B6" s="361"/>
      <c r="C6" s="362" t="s">
        <v>698</v>
      </c>
      <c r="D6" s="363"/>
    </row>
    <row r="7" ht="25" customHeight="1" spans="1:4" x14ac:dyDescent="0.25">
      <c r="A7" s="42">
        <v>45992</v>
      </c>
      <c r="B7" s="326">
        <v>600</v>
      </c>
      <c r="C7" s="301" t="s">
        <v>700</v>
      </c>
      <c r="D7" s="360" t="s">
        <v>865</v>
      </c>
    </row>
    <row r="8" ht="25" customHeight="1" spans="1:4" x14ac:dyDescent="0.25">
      <c r="A8" s="42">
        <v>45992</v>
      </c>
      <c r="B8" s="326">
        <v>220</v>
      </c>
      <c r="C8" s="301" t="s">
        <v>866</v>
      </c>
      <c r="D8" s="360" t="s">
        <v>867</v>
      </c>
    </row>
    <row r="9" ht="25" customHeight="1" spans="1:4" x14ac:dyDescent="0.25">
      <c r="A9" s="42">
        <v>45992</v>
      </c>
      <c r="B9" s="326">
        <v>3600</v>
      </c>
      <c r="C9" s="301" t="s">
        <v>700</v>
      </c>
      <c r="D9" s="360" t="s">
        <v>868</v>
      </c>
    </row>
    <row r="10" ht="25" customHeight="1" spans="1:4" x14ac:dyDescent="0.25">
      <c r="A10" s="42">
        <v>45992</v>
      </c>
      <c r="B10" s="326">
        <v>40</v>
      </c>
      <c r="C10" s="301" t="s">
        <v>869</v>
      </c>
      <c r="D10" s="360" t="s">
        <v>870</v>
      </c>
    </row>
    <row r="11" ht="25" customHeight="1" spans="1:4" x14ac:dyDescent="0.25">
      <c r="A11" s="42">
        <v>45992</v>
      </c>
      <c r="B11" s="326">
        <v>60</v>
      </c>
      <c r="C11" s="301" t="s">
        <v>700</v>
      </c>
      <c r="D11" s="360" t="s">
        <v>871</v>
      </c>
    </row>
    <row r="12" ht="25" customHeight="1" spans="1:4" x14ac:dyDescent="0.25">
      <c r="A12" s="42">
        <v>45992</v>
      </c>
      <c r="B12" s="326">
        <v>40</v>
      </c>
      <c r="C12" s="301" t="s">
        <v>700</v>
      </c>
      <c r="D12" s="360" t="s">
        <v>872</v>
      </c>
    </row>
    <row r="13" ht="25" customHeight="1" spans="1:4" x14ac:dyDescent="0.25">
      <c r="A13" s="42">
        <v>45992</v>
      </c>
      <c r="B13" s="326">
        <v>270</v>
      </c>
      <c r="C13" s="301" t="s">
        <v>873</v>
      </c>
      <c r="D13" s="360" t="s">
        <v>874</v>
      </c>
    </row>
    <row r="14" ht="25" customHeight="1" spans="1:4" x14ac:dyDescent="0.25">
      <c r="A14" s="42">
        <v>45992</v>
      </c>
      <c r="B14" s="326"/>
      <c r="C14" s="360"/>
      <c r="D14" s="360"/>
    </row>
    <row r="15" ht="25" customHeight="1" spans="1:4" x14ac:dyDescent="0.25">
      <c r="A15" s="53">
        <v>45992</v>
      </c>
      <c r="B15" s="364"/>
      <c r="C15" s="365"/>
      <c r="D15" s="365"/>
    </row>
    <row r="16" ht="25" customHeight="1" spans="1:4" x14ac:dyDescent="0.25">
      <c r="A16" s="42">
        <v>46023</v>
      </c>
      <c r="B16" s="326">
        <v>280</v>
      </c>
      <c r="C16" s="360" t="s">
        <v>875</v>
      </c>
      <c r="D16" s="360" t="s">
        <v>876</v>
      </c>
    </row>
    <row r="17" ht="25" customHeight="1" spans="1:4" x14ac:dyDescent="0.25">
      <c r="A17" s="42">
        <v>46023</v>
      </c>
      <c r="B17" s="326">
        <v>140</v>
      </c>
      <c r="C17" s="360" t="s">
        <v>388</v>
      </c>
      <c r="D17" s="360" t="s">
        <v>877</v>
      </c>
    </row>
    <row r="18" ht="25" customHeight="1" spans="1:4" x14ac:dyDescent="0.25">
      <c r="A18" s="42">
        <v>46023</v>
      </c>
      <c r="B18" s="326">
        <v>40</v>
      </c>
      <c r="C18" s="360" t="s">
        <v>388</v>
      </c>
      <c r="D18" s="360" t="s">
        <v>878</v>
      </c>
    </row>
    <row r="19" ht="25" customHeight="1" spans="1:4" x14ac:dyDescent="0.25">
      <c r="A19" s="42">
        <v>46023</v>
      </c>
      <c r="B19" s="326">
        <v>320</v>
      </c>
      <c r="C19" s="360" t="s">
        <v>879</v>
      </c>
      <c r="D19" s="360" t="s">
        <v>880</v>
      </c>
    </row>
    <row r="20" ht="25" customHeight="1" spans="1:4" x14ac:dyDescent="0.25">
      <c r="A20" s="42">
        <v>46023</v>
      </c>
      <c r="B20" s="326">
        <v>150</v>
      </c>
      <c r="C20" s="360" t="s">
        <v>225</v>
      </c>
      <c r="D20" s="360" t="s">
        <v>881</v>
      </c>
    </row>
    <row r="21" ht="25" customHeight="1" spans="1:4" x14ac:dyDescent="0.25">
      <c r="A21" s="42">
        <v>46023</v>
      </c>
      <c r="B21" s="326">
        <v>15</v>
      </c>
      <c r="C21" s="360" t="s">
        <v>181</v>
      </c>
      <c r="D21" s="360" t="s">
        <v>156</v>
      </c>
    </row>
    <row r="22" ht="25" customHeight="1" spans="1:4" x14ac:dyDescent="0.25">
      <c r="A22" s="42">
        <v>46023</v>
      </c>
      <c r="B22" s="326">
        <v>15</v>
      </c>
      <c r="C22" s="360" t="s">
        <v>882</v>
      </c>
      <c r="D22" s="360" t="s">
        <v>883</v>
      </c>
    </row>
    <row r="23" ht="25" customHeight="1" spans="1:4" x14ac:dyDescent="0.25">
      <c r="A23" s="42">
        <v>46023</v>
      </c>
      <c r="B23" s="326">
        <v>260</v>
      </c>
      <c r="C23" s="360" t="s">
        <v>882</v>
      </c>
      <c r="D23" s="360" t="s">
        <v>884</v>
      </c>
    </row>
    <row r="24" ht="25" customHeight="1" spans="1:4" x14ac:dyDescent="0.25">
      <c r="A24" s="42">
        <v>46023</v>
      </c>
      <c r="B24" s="326">
        <v>300</v>
      </c>
      <c r="C24" s="360" t="s">
        <v>386</v>
      </c>
      <c r="D24" s="360" t="s">
        <v>885</v>
      </c>
    </row>
    <row r="25" ht="25" customHeight="1" spans="1:4" x14ac:dyDescent="0.25">
      <c r="A25" s="42">
        <v>46023</v>
      </c>
      <c r="B25" s="326">
        <v>310</v>
      </c>
      <c r="C25" s="360" t="s">
        <v>882</v>
      </c>
      <c r="D25" s="360" t="s">
        <v>886</v>
      </c>
    </row>
    <row r="26" ht="25" customHeight="1" spans="1:4" x14ac:dyDescent="0.25">
      <c r="A26" s="53">
        <v>46023</v>
      </c>
      <c r="B26" s="364"/>
      <c r="C26" s="365"/>
      <c r="D26" s="365"/>
    </row>
    <row r="27" ht="25" customHeight="1" spans="1:4" x14ac:dyDescent="0.25">
      <c r="A27" s="42">
        <v>46054</v>
      </c>
      <c r="B27" s="326">
        <v>150</v>
      </c>
      <c r="C27" s="122" t="s">
        <v>238</v>
      </c>
      <c r="D27" s="360" t="s">
        <v>887</v>
      </c>
    </row>
    <row r="28" ht="25" customHeight="1" spans="1:4" x14ac:dyDescent="0.25">
      <c r="A28" s="42">
        <v>46054</v>
      </c>
      <c r="B28" s="326">
        <v>100</v>
      </c>
      <c r="C28" s="115" t="s">
        <v>388</v>
      </c>
      <c r="D28" s="360" t="s">
        <v>887</v>
      </c>
    </row>
    <row r="29" ht="25" customHeight="1" spans="1:4" x14ac:dyDescent="0.25">
      <c r="A29" s="42">
        <v>46054</v>
      </c>
      <c r="B29" s="326">
        <v>250</v>
      </c>
      <c r="C29" s="360" t="s">
        <v>888</v>
      </c>
      <c r="D29" s="360" t="s">
        <v>887</v>
      </c>
    </row>
    <row r="30" ht="25" customHeight="1" spans="1:4" x14ac:dyDescent="0.25">
      <c r="A30" s="42">
        <v>46054</v>
      </c>
      <c r="B30" s="326">
        <v>250</v>
      </c>
      <c r="C30" s="360" t="s">
        <v>390</v>
      </c>
      <c r="D30" s="360" t="s">
        <v>887</v>
      </c>
    </row>
    <row r="31" ht="25" customHeight="1" spans="1:4" x14ac:dyDescent="0.25">
      <c r="A31" s="42">
        <v>46054</v>
      </c>
      <c r="B31" s="326">
        <v>30</v>
      </c>
      <c r="C31" s="360"/>
      <c r="D31" s="360" t="s">
        <v>889</v>
      </c>
    </row>
    <row r="32" ht="25" customHeight="1" spans="1:4" x14ac:dyDescent="0.25">
      <c r="A32" s="42">
        <v>46054</v>
      </c>
      <c r="B32" s="326">
        <v>2500</v>
      </c>
      <c r="C32" s="360"/>
      <c r="D32" s="360" t="s">
        <v>890</v>
      </c>
    </row>
    <row r="33" ht="25" customHeight="1" spans="1:4" x14ac:dyDescent="0.25">
      <c r="A33" s="42">
        <v>46054</v>
      </c>
      <c r="B33" s="326">
        <v>40</v>
      </c>
      <c r="C33" s="360"/>
      <c r="D33" s="301" t="s">
        <v>808</v>
      </c>
    </row>
    <row r="34" ht="26" customHeight="1" spans="1:4" x14ac:dyDescent="0.25">
      <c r="A34" s="42">
        <v>46054</v>
      </c>
      <c r="B34" s="326">
        <v>240</v>
      </c>
      <c r="C34" s="44" t="s">
        <v>390</v>
      </c>
      <c r="D34" s="360" t="s">
        <v>867</v>
      </c>
    </row>
    <row r="35" ht="26" customHeight="1" spans="1:4" x14ac:dyDescent="0.25">
      <c r="A35" s="42">
        <v>46054</v>
      </c>
      <c r="B35" s="326">
        <v>160</v>
      </c>
      <c r="C35" s="44" t="s">
        <v>211</v>
      </c>
      <c r="D35" s="360" t="s">
        <v>867</v>
      </c>
    </row>
    <row r="36" ht="26" customHeight="1" spans="1:4" x14ac:dyDescent="0.25">
      <c r="A36" s="42">
        <v>46054</v>
      </c>
      <c r="B36" s="326">
        <v>10</v>
      </c>
      <c r="C36" s="360" t="s">
        <v>388</v>
      </c>
      <c r="D36" s="360" t="s">
        <v>886</v>
      </c>
    </row>
    <row r="37" ht="26" customHeight="1" spans="1:4" x14ac:dyDescent="0.25">
      <c r="A37" s="42">
        <v>46054</v>
      </c>
      <c r="B37" s="326">
        <v>250</v>
      </c>
      <c r="C37" s="360" t="s">
        <v>208</v>
      </c>
      <c r="D37" s="360" t="s">
        <v>887</v>
      </c>
    </row>
    <row r="38" ht="26" customHeight="1" spans="1:4" x14ac:dyDescent="0.25">
      <c r="A38" s="42">
        <v>46054</v>
      </c>
      <c r="B38" s="326">
        <v>50</v>
      </c>
      <c r="C38" s="360" t="s">
        <v>228</v>
      </c>
      <c r="D38" s="360" t="s">
        <v>887</v>
      </c>
    </row>
    <row r="39" ht="26" customHeight="1" spans="1:4" x14ac:dyDescent="0.25">
      <c r="A39" s="42">
        <v>46054</v>
      </c>
      <c r="B39" s="326">
        <v>200</v>
      </c>
      <c r="C39" s="44" t="s">
        <v>200</v>
      </c>
      <c r="D39" s="360" t="s">
        <v>887</v>
      </c>
    </row>
    <row r="40" ht="26" customHeight="1" spans="1:4" x14ac:dyDescent="0.25">
      <c r="A40" s="53">
        <v>46054</v>
      </c>
      <c r="B40" s="364"/>
      <c r="C40" s="365"/>
      <c r="D40" s="365"/>
    </row>
    <row r="41" ht="26" customHeight="1" spans="1:4" x14ac:dyDescent="0.25">
      <c r="A41" s="42">
        <v>46113</v>
      </c>
      <c r="B41" s="326">
        <v>2500</v>
      </c>
      <c r="C41" s="360"/>
      <c r="D41" s="360" t="s">
        <v>890</v>
      </c>
    </row>
    <row r="42" ht="26" customHeight="1" spans="1:4" x14ac:dyDescent="0.25">
      <c r="A42" s="42">
        <v>46113</v>
      </c>
      <c r="B42" s="326">
        <v>540</v>
      </c>
      <c r="C42" s="360" t="s">
        <v>891</v>
      </c>
      <c r="D42" s="360" t="s">
        <v>892</v>
      </c>
    </row>
    <row r="43" ht="26" customHeight="1" spans="1:4" x14ac:dyDescent="0.25">
      <c r="A43" s="42">
        <v>46113</v>
      </c>
      <c r="B43" s="326"/>
      <c r="C43" s="360"/>
      <c r="D43" s="360"/>
    </row>
    <row r="44" ht="26" customHeight="1" spans="1:4" x14ac:dyDescent="0.25">
      <c r="A44" s="42">
        <v>46113</v>
      </c>
      <c r="B44" s="326"/>
      <c r="C44" s="360"/>
      <c r="D44" s="360"/>
    </row>
    <row r="45" ht="25" customHeight="1" spans="1:4" x14ac:dyDescent="0.25">
      <c r="A45" s="42">
        <v>46113</v>
      </c>
      <c r="B45" s="326"/>
      <c r="C45" s="360"/>
      <c r="D45" s="360"/>
    </row>
    <row r="46" ht="25" customHeight="1" spans="1:4" x14ac:dyDescent="0.25">
      <c r="A46" s="42">
        <v>46113</v>
      </c>
      <c r="B46" s="326"/>
      <c r="C46" s="360"/>
      <c r="D46" s="360"/>
    </row>
    <row r="47" ht="25" customHeight="1" spans="1:4" x14ac:dyDescent="0.25">
      <c r="A47" s="42">
        <v>46113</v>
      </c>
      <c r="B47" s="326"/>
      <c r="C47" s="360"/>
      <c r="D47" s="360"/>
    </row>
    <row r="48" ht="25" customHeight="1" spans="1:4" x14ac:dyDescent="0.25">
      <c r="A48" s="42">
        <v>46113</v>
      </c>
      <c r="B48" s="326"/>
      <c r="C48" s="360"/>
      <c r="D48" s="360"/>
    </row>
    <row r="49" ht="25" customHeight="1" spans="1:4" x14ac:dyDescent="0.25">
      <c r="A49" s="42">
        <v>46113</v>
      </c>
      <c r="B49" s="326"/>
      <c r="C49" s="360"/>
      <c r="D49" s="360"/>
    </row>
    <row r="50" ht="25" customHeight="1" spans="1:4" x14ac:dyDescent="0.25">
      <c r="A50" s="42">
        <v>46113</v>
      </c>
      <c r="B50" s="326"/>
      <c r="C50" s="360"/>
      <c r="D50" s="360"/>
    </row>
    <row r="51" ht="25" customHeight="1" spans="1:4" x14ac:dyDescent="0.25">
      <c r="A51" s="42">
        <v>46113</v>
      </c>
      <c r="B51" s="326"/>
      <c r="C51" s="360"/>
      <c r="D51" s="360"/>
    </row>
    <row r="52" ht="25" customHeight="1" spans="1:4" x14ac:dyDescent="0.25">
      <c r="A52" s="42">
        <v>46113</v>
      </c>
      <c r="B52" s="326"/>
      <c r="C52" s="360"/>
      <c r="D52" s="360"/>
    </row>
  </sheetData>
  <autoFilter ref="A1:D4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110"/>
  <sheetViews>
    <sheetView workbookViewId="0" zoomScale="73" zoomScaleNormal="100">
      <selection activeCell="H10" sqref="H10"/>
    </sheetView>
  </sheetViews>
  <sheetFormatPr defaultRowHeight="15" outlineLevelRow="0" outlineLevelCol="0" x14ac:dyDescent="0" defaultColWidth="8.83203125"/>
  <cols>
    <col min="1" max="1" width="23.1640625" customWidth="1"/>
    <col min="2" max="2" width="28.1640625" style="294" customWidth="1"/>
    <col min="3" max="3" width="23.6640625" customWidth="1"/>
    <col min="4" max="4" width="17.83203125" style="123" customWidth="1"/>
    <col min="5" max="5" width="31.83203125" customWidth="1"/>
  </cols>
  <sheetData>
    <row r="1" ht="26" customHeight="1" spans="1:5" x14ac:dyDescent="0.25">
      <c r="A1" s="297" t="s">
        <v>0</v>
      </c>
      <c r="B1" s="296" t="s">
        <v>546</v>
      </c>
      <c r="C1" s="297" t="s">
        <v>575</v>
      </c>
      <c r="D1" s="297" t="s">
        <v>577</v>
      </c>
      <c r="E1" s="298" t="s">
        <v>13</v>
      </c>
    </row>
    <row r="2" ht="52.5" customHeight="1" spans="1:5" x14ac:dyDescent="0.25">
      <c r="A2" s="42">
        <v>45962</v>
      </c>
      <c r="B2" s="299">
        <v>45991</v>
      </c>
      <c r="C2" s="301" t="s">
        <v>893</v>
      </c>
      <c r="D2" s="302">
        <v>500</v>
      </c>
      <c r="E2" s="315" t="s">
        <v>894</v>
      </c>
    </row>
    <row r="3" ht="25.5" customHeight="1" spans="1:5" x14ac:dyDescent="0.25">
      <c r="A3" s="76">
        <v>45962</v>
      </c>
      <c r="B3" s="299"/>
      <c r="C3" s="301"/>
      <c r="D3" s="302"/>
      <c r="E3" s="346"/>
    </row>
    <row r="4" ht="25.5" customHeight="1" spans="1:5" x14ac:dyDescent="0.25">
      <c r="A4" s="76">
        <v>45962</v>
      </c>
      <c r="B4" s="299"/>
      <c r="C4" s="340" t="s">
        <v>895</v>
      </c>
      <c r="D4" s="341">
        <f>SUM(D2:D2)</f>
        <v>500</v>
      </c>
      <c r="E4" s="315"/>
    </row>
    <row r="5" ht="25.5" customHeight="1" spans="1:5" x14ac:dyDescent="0.25">
      <c r="A5" s="365"/>
      <c r="B5" s="311"/>
      <c r="C5" s="365"/>
      <c r="D5" s="365"/>
      <c r="E5" s="366"/>
    </row>
    <row r="6" ht="25.5" customHeight="1" spans="1:5" x14ac:dyDescent="0.25">
      <c r="A6" s="76">
        <v>46023</v>
      </c>
      <c r="B6" s="299">
        <v>46027</v>
      </c>
      <c r="C6" s="360" t="s">
        <v>586</v>
      </c>
      <c r="D6" s="367">
        <v>1700</v>
      </c>
      <c r="E6" s="346" t="s">
        <v>896</v>
      </c>
    </row>
    <row r="7" ht="25.5" customHeight="1" spans="1:5" x14ac:dyDescent="0.25">
      <c r="A7" s="76">
        <v>46023</v>
      </c>
      <c r="B7" s="299">
        <v>46027</v>
      </c>
      <c r="C7" s="360" t="s">
        <v>599</v>
      </c>
      <c r="D7" s="367">
        <v>514.74</v>
      </c>
      <c r="E7" s="346" t="s">
        <v>896</v>
      </c>
    </row>
    <row r="8" ht="25.5" customHeight="1" spans="1:5" x14ac:dyDescent="0.25">
      <c r="A8" s="76">
        <v>46023</v>
      </c>
      <c r="B8" s="299"/>
      <c r="C8" s="360"/>
      <c r="D8" s="360"/>
      <c r="E8" s="346"/>
    </row>
    <row r="9" ht="25.5" customHeight="1" spans="1:5" x14ac:dyDescent="0.25">
      <c r="A9" s="76">
        <v>46023</v>
      </c>
      <c r="B9" s="299"/>
      <c r="C9" s="340" t="s">
        <v>895</v>
      </c>
      <c r="D9" s="341">
        <f>SUM(D6:D7)</f>
        <v>2214.74</v>
      </c>
      <c r="E9" s="346"/>
    </row>
    <row r="10" ht="25.5" customHeight="1" spans="1:5" x14ac:dyDescent="0.25">
      <c r="A10" s="80">
        <v>46023</v>
      </c>
      <c r="B10" s="311"/>
      <c r="C10" s="365"/>
      <c r="D10" s="368"/>
      <c r="E10" s="366"/>
    </row>
    <row r="11" ht="25.5" customHeight="1" spans="1:5" x14ac:dyDescent="0.25">
      <c r="A11" s="76">
        <v>46107</v>
      </c>
      <c r="B11" s="299">
        <v>46107</v>
      </c>
      <c r="C11" s="360" t="s">
        <v>586</v>
      </c>
      <c r="D11" s="367">
        <v>1000</v>
      </c>
      <c r="E11" s="369" t="s">
        <v>698</v>
      </c>
    </row>
    <row r="12" ht="26" customHeight="1" spans="1:5" x14ac:dyDescent="0.25">
      <c r="A12" s="76">
        <v>46107</v>
      </c>
      <c r="B12" s="299">
        <v>46107</v>
      </c>
      <c r="C12" s="360" t="s">
        <v>599</v>
      </c>
      <c r="D12" s="367">
        <v>1000</v>
      </c>
      <c r="E12" s="369" t="s">
        <v>698</v>
      </c>
    </row>
    <row r="13" ht="26" customHeight="1" spans="1:5" x14ac:dyDescent="0.25">
      <c r="A13" s="370"/>
      <c r="B13" s="355"/>
      <c r="C13" s="370"/>
      <c r="D13" s="371"/>
      <c r="E13" s="369"/>
    </row>
    <row r="14" ht="26" customHeight="1" spans="1:5" x14ac:dyDescent="0.25">
      <c r="A14" s="370"/>
      <c r="B14" s="355"/>
      <c r="C14" s="340" t="s">
        <v>895</v>
      </c>
      <c r="D14" s="341">
        <f>SUM(D11:D12)</f>
        <v>2000</v>
      </c>
      <c r="E14" s="369"/>
    </row>
    <row r="15" ht="26" customHeight="1" spans="1:5" x14ac:dyDescent="0.25">
      <c r="A15" s="372"/>
      <c r="B15" s="373"/>
      <c r="C15" s="372"/>
      <c r="D15" s="374"/>
      <c r="E15" s="375"/>
    </row>
    <row r="16" ht="26" customHeight="1" spans="1:5" x14ac:dyDescent="0.25">
      <c r="A16" s="370"/>
      <c r="B16" s="355"/>
      <c r="C16" s="370"/>
      <c r="D16" s="371"/>
      <c r="E16" s="369"/>
    </row>
    <row r="17" ht="26" customHeight="1" spans="1:5" x14ac:dyDescent="0.25">
      <c r="A17" s="370"/>
      <c r="B17" s="355"/>
      <c r="C17" s="370"/>
      <c r="D17" s="371"/>
      <c r="E17" s="369"/>
    </row>
    <row r="18" ht="26" customHeight="1" spans="1:5" x14ac:dyDescent="0.25">
      <c r="A18" s="370"/>
      <c r="B18" s="355"/>
      <c r="C18" s="370"/>
      <c r="D18" s="371"/>
      <c r="E18" s="369"/>
    </row>
    <row r="19" ht="26" customHeight="1" spans="1:5" x14ac:dyDescent="0.25">
      <c r="A19" s="370"/>
      <c r="B19" s="355"/>
      <c r="C19" s="370"/>
      <c r="D19" s="371"/>
      <c r="E19" s="369"/>
    </row>
    <row r="20" ht="26" customHeight="1" spans="1:5" x14ac:dyDescent="0.25">
      <c r="A20" s="370"/>
      <c r="B20" s="355"/>
      <c r="C20" s="370"/>
      <c r="D20" s="371"/>
      <c r="E20" s="369"/>
    </row>
    <row r="21" ht="26" customHeight="1" spans="1:5" x14ac:dyDescent="0.25">
      <c r="A21" s="370"/>
      <c r="B21" s="355"/>
      <c r="C21" s="370"/>
      <c r="D21" s="371"/>
      <c r="E21" s="369"/>
    </row>
    <row r="22" ht="26" customHeight="1" spans="1:5" x14ac:dyDescent="0.25">
      <c r="A22" s="370"/>
      <c r="B22" s="355"/>
      <c r="C22" s="370"/>
      <c r="D22" s="371"/>
      <c r="E22" s="369"/>
    </row>
    <row r="23" ht="26" customHeight="1" spans="1:5" x14ac:dyDescent="0.25">
      <c r="A23" s="370"/>
      <c r="B23" s="355"/>
      <c r="C23" s="370"/>
      <c r="D23" s="371"/>
      <c r="E23" s="369"/>
    </row>
    <row r="24" ht="26" customHeight="1" spans="1:5" x14ac:dyDescent="0.25">
      <c r="A24" s="370"/>
      <c r="B24" s="355"/>
      <c r="C24" s="370"/>
      <c r="D24" s="371"/>
      <c r="E24" s="369"/>
    </row>
    <row r="25" ht="26" customHeight="1" spans="1:5" x14ac:dyDescent="0.25">
      <c r="A25" s="370"/>
      <c r="B25" s="355"/>
      <c r="C25" s="370"/>
      <c r="D25" s="371"/>
      <c r="E25" s="369"/>
    </row>
    <row r="26" ht="26" customHeight="1" spans="1:5" x14ac:dyDescent="0.25">
      <c r="A26" s="370"/>
      <c r="B26" s="355"/>
      <c r="C26" s="370"/>
      <c r="D26" s="371"/>
      <c r="E26" s="369"/>
    </row>
    <row r="27" ht="26" customHeight="1" spans="1:5" x14ac:dyDescent="0.25">
      <c r="A27" s="370"/>
      <c r="B27" s="355"/>
      <c r="C27" s="370"/>
      <c r="D27" s="371"/>
      <c r="E27" s="369"/>
    </row>
    <row r="28" ht="26" customHeight="1" spans="1:5" x14ac:dyDescent="0.25">
      <c r="A28" s="370"/>
      <c r="B28" s="355"/>
      <c r="C28" s="370"/>
      <c r="D28" s="371"/>
      <c r="E28" s="369"/>
    </row>
    <row r="29" ht="26" customHeight="1" spans="1:5" x14ac:dyDescent="0.25">
      <c r="A29" s="370"/>
      <c r="B29" s="355"/>
      <c r="C29" s="370"/>
      <c r="D29" s="371"/>
      <c r="E29" s="369"/>
    </row>
    <row r="30" ht="26" customHeight="1" spans="1:5" x14ac:dyDescent="0.25">
      <c r="A30" s="370"/>
      <c r="B30" s="355"/>
      <c r="C30" s="370"/>
      <c r="D30" s="371"/>
      <c r="E30" s="369"/>
    </row>
    <row r="31" ht="26" customHeight="1" spans="1:5" x14ac:dyDescent="0.25">
      <c r="A31" s="370"/>
      <c r="B31" s="355"/>
      <c r="C31" s="370"/>
      <c r="D31" s="371"/>
      <c r="E31" s="369"/>
    </row>
    <row r="32" ht="26" customHeight="1" spans="1:5" x14ac:dyDescent="0.25">
      <c r="A32" s="370"/>
      <c r="B32" s="355"/>
      <c r="C32" s="370"/>
      <c r="D32" s="371"/>
      <c r="E32" s="369"/>
    </row>
    <row r="33" ht="26" customHeight="1" spans="1:5" x14ac:dyDescent="0.25">
      <c r="A33" s="370"/>
      <c r="B33" s="355"/>
      <c r="C33" s="370"/>
      <c r="D33" s="371"/>
      <c r="E33" s="369"/>
    </row>
    <row r="34" ht="26" customHeight="1" spans="1:5" x14ac:dyDescent="0.25">
      <c r="A34" s="370"/>
      <c r="B34" s="355"/>
      <c r="C34" s="370"/>
      <c r="D34" s="371"/>
      <c r="E34" s="369"/>
    </row>
    <row r="35" ht="26" customHeight="1" spans="1:5" x14ac:dyDescent="0.25">
      <c r="A35" s="370"/>
      <c r="B35" s="355"/>
      <c r="C35" s="370"/>
      <c r="D35" s="371"/>
      <c r="E35" s="369"/>
    </row>
    <row r="36" ht="26" customHeight="1" spans="1:5" x14ac:dyDescent="0.25">
      <c r="A36" s="370"/>
      <c r="B36" s="355"/>
      <c r="C36" s="370"/>
      <c r="D36" s="371"/>
      <c r="E36" s="369"/>
    </row>
    <row r="37" ht="26" customHeight="1" spans="1:5" x14ac:dyDescent="0.25">
      <c r="A37" s="370"/>
      <c r="B37" s="355"/>
      <c r="C37" s="370"/>
      <c r="D37" s="371"/>
      <c r="E37" s="369"/>
    </row>
    <row r="38" ht="26" customHeight="1" spans="1:5" x14ac:dyDescent="0.25">
      <c r="A38" s="370"/>
      <c r="B38" s="355"/>
      <c r="C38" s="370"/>
      <c r="D38" s="371"/>
      <c r="E38" s="369"/>
    </row>
    <row r="39" ht="26" customHeight="1" spans="1:5" x14ac:dyDescent="0.25">
      <c r="A39" s="370"/>
      <c r="B39" s="355"/>
      <c r="C39" s="370"/>
      <c r="D39" s="371"/>
      <c r="E39" s="369"/>
    </row>
    <row r="40" ht="26" customHeight="1" spans="1:5" x14ac:dyDescent="0.25">
      <c r="A40" s="370"/>
      <c r="B40" s="355"/>
      <c r="C40" s="370"/>
      <c r="D40" s="371"/>
      <c r="E40" s="369"/>
    </row>
    <row r="41" ht="26" customHeight="1" spans="1:5" x14ac:dyDescent="0.25">
      <c r="A41" s="370"/>
      <c r="B41" s="355"/>
      <c r="C41" s="370"/>
      <c r="D41" s="371"/>
      <c r="E41" s="369"/>
    </row>
    <row r="42" ht="26" customHeight="1" spans="1:5" x14ac:dyDescent="0.25">
      <c r="A42" s="370"/>
      <c r="B42" s="355"/>
      <c r="C42" s="370"/>
      <c r="D42" s="371"/>
      <c r="E42" s="369"/>
    </row>
    <row r="43" ht="26" customHeight="1" spans="1:5" x14ac:dyDescent="0.25">
      <c r="A43" s="370"/>
      <c r="B43" s="355"/>
      <c r="C43" s="370"/>
      <c r="D43" s="371"/>
      <c r="E43" s="369"/>
    </row>
    <row r="44" ht="26" customHeight="1" spans="1:5" x14ac:dyDescent="0.25">
      <c r="A44" s="370"/>
      <c r="B44" s="355"/>
      <c r="C44" s="370"/>
      <c r="D44" s="371"/>
      <c r="E44" s="369"/>
    </row>
    <row r="45" ht="26" customHeight="1" spans="1:5" x14ac:dyDescent="0.25">
      <c r="A45" s="370"/>
      <c r="B45" s="355"/>
      <c r="C45" s="370"/>
      <c r="D45" s="371"/>
      <c r="E45" s="369"/>
    </row>
    <row r="46" ht="26" customHeight="1" spans="1:5" x14ac:dyDescent="0.25">
      <c r="A46" s="370"/>
      <c r="B46" s="355"/>
      <c r="C46" s="370"/>
      <c r="D46" s="371"/>
      <c r="E46" s="369"/>
    </row>
    <row r="47" ht="26" customHeight="1" spans="1:5" x14ac:dyDescent="0.25">
      <c r="A47" s="370"/>
      <c r="B47" s="355"/>
      <c r="C47" s="370"/>
      <c r="D47" s="371"/>
      <c r="E47" s="369"/>
    </row>
    <row r="48" ht="26" customHeight="1" spans="1:5" x14ac:dyDescent="0.25">
      <c r="A48" s="370"/>
      <c r="B48" s="355"/>
      <c r="C48" s="370"/>
      <c r="D48" s="371"/>
      <c r="E48" s="369"/>
    </row>
    <row r="49" ht="26" customHeight="1" spans="1:5" x14ac:dyDescent="0.25">
      <c r="A49" s="370"/>
      <c r="B49" s="355"/>
      <c r="C49" s="370"/>
      <c r="D49" s="371"/>
      <c r="E49" s="369"/>
    </row>
    <row r="50" ht="26" customHeight="1" spans="1:5" x14ac:dyDescent="0.25">
      <c r="A50" s="370"/>
      <c r="B50" s="355"/>
      <c r="C50" s="370"/>
      <c r="D50" s="371"/>
      <c r="E50" s="369"/>
    </row>
    <row r="51" ht="26" customHeight="1" spans="1:5" x14ac:dyDescent="0.25">
      <c r="A51" s="370"/>
      <c r="B51" s="355"/>
      <c r="C51" s="370"/>
      <c r="D51" s="371"/>
      <c r="E51" s="369"/>
    </row>
    <row r="52" ht="26" customHeight="1" spans="1:5" x14ac:dyDescent="0.25">
      <c r="A52" s="370"/>
      <c r="B52" s="355"/>
      <c r="C52" s="370"/>
      <c r="D52" s="371"/>
      <c r="E52" s="369"/>
    </row>
    <row r="53" ht="26" customHeight="1" spans="1:5" x14ac:dyDescent="0.25">
      <c r="A53" s="370"/>
      <c r="B53" s="355"/>
      <c r="C53" s="370"/>
      <c r="D53" s="371"/>
      <c r="E53" s="369"/>
    </row>
    <row r="54" ht="26" customHeight="1" spans="1:5" x14ac:dyDescent="0.25">
      <c r="A54" s="370"/>
      <c r="B54" s="355"/>
      <c r="C54" s="370"/>
      <c r="D54" s="371"/>
      <c r="E54" s="369"/>
    </row>
    <row r="55" ht="26" customHeight="1" spans="1:5" x14ac:dyDescent="0.25">
      <c r="A55" s="370"/>
      <c r="B55" s="355"/>
      <c r="C55" s="370"/>
      <c r="D55" s="371"/>
      <c r="E55" s="369"/>
    </row>
    <row r="56" ht="26" customHeight="1" spans="1:5" x14ac:dyDescent="0.25">
      <c r="A56" s="370"/>
      <c r="B56" s="355"/>
      <c r="C56" s="370"/>
      <c r="D56" s="371"/>
      <c r="E56" s="369"/>
    </row>
    <row r="57" ht="26" customHeight="1" spans="1:5" x14ac:dyDescent="0.25">
      <c r="A57" s="370"/>
      <c r="B57" s="355"/>
      <c r="C57" s="370"/>
      <c r="D57" s="371"/>
      <c r="E57" s="369"/>
    </row>
    <row r="58" ht="26" customHeight="1" spans="1:5" x14ac:dyDescent="0.25">
      <c r="A58" s="370"/>
      <c r="B58" s="355"/>
      <c r="C58" s="370"/>
      <c r="D58" s="371"/>
      <c r="E58" s="369"/>
    </row>
    <row r="59" ht="26" customHeight="1" spans="1:5" x14ac:dyDescent="0.25">
      <c r="A59" s="370"/>
      <c r="B59" s="355"/>
      <c r="C59" s="370"/>
      <c r="D59" s="371"/>
      <c r="E59" s="369"/>
    </row>
    <row r="60" ht="26" customHeight="1" spans="1:5" x14ac:dyDescent="0.25">
      <c r="A60" s="370"/>
      <c r="B60" s="355"/>
      <c r="C60" s="370"/>
      <c r="D60" s="371"/>
      <c r="E60" s="369"/>
    </row>
    <row r="61" ht="26" customHeight="1" spans="1:5" x14ac:dyDescent="0.25">
      <c r="A61" s="370"/>
      <c r="B61" s="355"/>
      <c r="C61" s="370"/>
      <c r="D61" s="371"/>
      <c r="E61" s="369"/>
    </row>
    <row r="62" ht="26" customHeight="1" spans="1:5" x14ac:dyDescent="0.25">
      <c r="A62" s="370"/>
      <c r="B62" s="355"/>
      <c r="C62" s="370"/>
      <c r="D62" s="371"/>
      <c r="E62" s="369"/>
    </row>
    <row r="63" ht="26" customHeight="1" spans="1:5" x14ac:dyDescent="0.25">
      <c r="A63" s="370"/>
      <c r="B63" s="355"/>
      <c r="C63" s="370"/>
      <c r="D63" s="371"/>
      <c r="E63" s="369"/>
    </row>
    <row r="64" ht="26" customHeight="1" spans="1:5" x14ac:dyDescent="0.25">
      <c r="A64" s="370"/>
      <c r="B64" s="355"/>
      <c r="C64" s="370"/>
      <c r="D64" s="371"/>
      <c r="E64" s="369"/>
    </row>
    <row r="65" ht="26" customHeight="1" spans="1:5" x14ac:dyDescent="0.25">
      <c r="A65" s="370"/>
      <c r="B65" s="355"/>
      <c r="C65" s="370"/>
      <c r="D65" s="371"/>
      <c r="E65" s="369"/>
    </row>
    <row r="66" ht="26" customHeight="1" spans="1:5" x14ac:dyDescent="0.25">
      <c r="A66" s="370"/>
      <c r="B66" s="355"/>
      <c r="C66" s="370"/>
      <c r="D66" s="371"/>
      <c r="E66" s="369"/>
    </row>
    <row r="67" ht="26" customHeight="1" spans="1:5" x14ac:dyDescent="0.25">
      <c r="A67" s="370"/>
      <c r="B67" s="355"/>
      <c r="C67" s="370"/>
      <c r="D67" s="371"/>
      <c r="E67" s="369"/>
    </row>
    <row r="68" ht="26" customHeight="1" spans="1:5" x14ac:dyDescent="0.25">
      <c r="A68" s="370"/>
      <c r="B68" s="355"/>
      <c r="C68" s="370"/>
      <c r="D68" s="371"/>
      <c r="E68" s="369"/>
    </row>
    <row r="69" ht="26" customHeight="1" spans="1:5" x14ac:dyDescent="0.25">
      <c r="A69" s="370"/>
      <c r="B69" s="355"/>
      <c r="C69" s="370"/>
      <c r="D69" s="371"/>
      <c r="E69" s="369"/>
    </row>
    <row r="70" ht="26" customHeight="1" spans="1:5" x14ac:dyDescent="0.25">
      <c r="A70" s="370"/>
      <c r="B70" s="355"/>
      <c r="C70" s="370"/>
      <c r="D70" s="371"/>
      <c r="E70" s="369"/>
    </row>
    <row r="71" ht="26" customHeight="1" spans="1:5" x14ac:dyDescent="0.25">
      <c r="A71" s="370"/>
      <c r="B71" s="355"/>
      <c r="C71" s="370"/>
      <c r="D71" s="371"/>
      <c r="E71" s="369"/>
    </row>
    <row r="72" ht="26" customHeight="1" spans="1:5" x14ac:dyDescent="0.25">
      <c r="A72" s="370"/>
      <c r="B72" s="355"/>
      <c r="C72" s="370"/>
      <c r="D72" s="371"/>
      <c r="E72" s="369"/>
    </row>
    <row r="73" ht="26" customHeight="1" spans="1:5" x14ac:dyDescent="0.25">
      <c r="A73" s="370"/>
      <c r="B73" s="355"/>
      <c r="C73" s="370"/>
      <c r="D73" s="371"/>
      <c r="E73" s="369"/>
    </row>
    <row r="74" ht="26" customHeight="1" spans="1:5" x14ac:dyDescent="0.25">
      <c r="A74" s="370"/>
      <c r="B74" s="355"/>
      <c r="C74" s="370"/>
      <c r="D74" s="371"/>
      <c r="E74" s="369"/>
    </row>
    <row r="75" ht="26" customHeight="1" spans="1:5" x14ac:dyDescent="0.25">
      <c r="A75" s="370"/>
      <c r="B75" s="355"/>
      <c r="C75" s="370"/>
      <c r="D75" s="371"/>
      <c r="E75" s="369"/>
    </row>
    <row r="76" ht="26" customHeight="1" spans="1:5" x14ac:dyDescent="0.25">
      <c r="A76" s="370"/>
      <c r="B76" s="355"/>
      <c r="C76" s="370"/>
      <c r="D76" s="371"/>
      <c r="E76" s="369"/>
    </row>
    <row r="77" ht="26" customHeight="1" spans="1:5" x14ac:dyDescent="0.25">
      <c r="A77" s="370"/>
      <c r="B77" s="355"/>
      <c r="C77" s="370"/>
      <c r="D77" s="371"/>
      <c r="E77" s="369"/>
    </row>
    <row r="78" ht="26" customHeight="1" spans="1:5" x14ac:dyDescent="0.25">
      <c r="A78" s="370"/>
      <c r="B78" s="355"/>
      <c r="C78" s="370"/>
      <c r="D78" s="371"/>
      <c r="E78" s="369"/>
    </row>
    <row r="79" ht="26" customHeight="1" spans="1:5" x14ac:dyDescent="0.25">
      <c r="A79" s="370"/>
      <c r="B79" s="355"/>
      <c r="C79" s="370"/>
      <c r="D79" s="371"/>
      <c r="E79" s="369"/>
    </row>
    <row r="80" ht="26" customHeight="1" spans="1:5" x14ac:dyDescent="0.25">
      <c r="A80" s="370"/>
      <c r="B80" s="355"/>
      <c r="C80" s="370"/>
      <c r="D80" s="371"/>
      <c r="E80" s="369"/>
    </row>
    <row r="81" ht="26" customHeight="1" spans="1:5" x14ac:dyDescent="0.25">
      <c r="A81" s="370"/>
      <c r="B81" s="355"/>
      <c r="C81" s="370"/>
      <c r="D81" s="371"/>
      <c r="E81" s="369"/>
    </row>
    <row r="82" ht="26" customHeight="1" spans="1:5" x14ac:dyDescent="0.25">
      <c r="A82" s="370"/>
      <c r="B82" s="355"/>
      <c r="C82" s="370"/>
      <c r="D82" s="371"/>
      <c r="E82" s="369"/>
    </row>
    <row r="83" ht="26" customHeight="1" spans="1:5" x14ac:dyDescent="0.25">
      <c r="A83" s="370"/>
      <c r="B83" s="355"/>
      <c r="C83" s="370"/>
      <c r="D83" s="371"/>
      <c r="E83" s="369"/>
    </row>
    <row r="84" ht="26" customHeight="1" spans="1:5" x14ac:dyDescent="0.25">
      <c r="A84" s="370"/>
      <c r="B84" s="355"/>
      <c r="C84" s="370"/>
      <c r="D84" s="371"/>
      <c r="E84" s="369"/>
    </row>
    <row r="85" ht="26" customHeight="1" spans="1:5" x14ac:dyDescent="0.25">
      <c r="A85" s="370"/>
      <c r="B85" s="355"/>
      <c r="C85" s="370"/>
      <c r="D85" s="371"/>
      <c r="E85" s="369"/>
    </row>
    <row r="86" ht="26" customHeight="1" spans="1:5" x14ac:dyDescent="0.25">
      <c r="A86" s="370"/>
      <c r="B86" s="355"/>
      <c r="C86" s="370"/>
      <c r="D86" s="371"/>
      <c r="E86" s="369"/>
    </row>
    <row r="87" ht="26" customHeight="1" spans="1:5" x14ac:dyDescent="0.25">
      <c r="A87" s="370"/>
      <c r="B87" s="355"/>
      <c r="C87" s="370"/>
      <c r="D87" s="371"/>
      <c r="E87" s="369"/>
    </row>
    <row r="88" ht="26" customHeight="1" spans="1:5" x14ac:dyDescent="0.25">
      <c r="A88" s="370"/>
      <c r="B88" s="355"/>
      <c r="C88" s="370"/>
      <c r="D88" s="371"/>
      <c r="E88" s="369"/>
    </row>
    <row r="89" ht="26" customHeight="1" spans="1:5" x14ac:dyDescent="0.25">
      <c r="A89" s="370"/>
      <c r="B89" s="355"/>
      <c r="C89" s="370"/>
      <c r="D89" s="371"/>
      <c r="E89" s="369"/>
    </row>
    <row r="90" ht="26" customHeight="1" spans="1:5" x14ac:dyDescent="0.25">
      <c r="A90" s="370"/>
      <c r="B90" s="355"/>
      <c r="C90" s="370"/>
      <c r="D90" s="371"/>
      <c r="E90" s="369"/>
    </row>
    <row r="91" ht="26" customHeight="1" spans="1:5" x14ac:dyDescent="0.25">
      <c r="A91" s="370"/>
      <c r="B91" s="355"/>
      <c r="C91" s="370"/>
      <c r="D91" s="371"/>
      <c r="E91" s="369"/>
    </row>
    <row r="92" ht="26" customHeight="1" spans="1:5" x14ac:dyDescent="0.25">
      <c r="A92" s="370"/>
      <c r="B92" s="355"/>
      <c r="C92" s="370"/>
      <c r="D92" s="371"/>
      <c r="E92" s="369"/>
    </row>
    <row r="93" ht="26" customHeight="1" spans="1:5" x14ac:dyDescent="0.25">
      <c r="A93" s="370"/>
      <c r="B93" s="355"/>
      <c r="C93" s="370"/>
      <c r="D93" s="371"/>
      <c r="E93" s="369"/>
    </row>
    <row r="94" ht="26" customHeight="1" spans="1:5" x14ac:dyDescent="0.25">
      <c r="A94" s="370"/>
      <c r="B94" s="355"/>
      <c r="C94" s="370"/>
      <c r="D94" s="371"/>
      <c r="E94" s="369"/>
    </row>
    <row r="95" ht="26" customHeight="1" spans="1:5" x14ac:dyDescent="0.25">
      <c r="A95" s="370"/>
      <c r="B95" s="355"/>
      <c r="C95" s="370"/>
      <c r="D95" s="371"/>
      <c r="E95" s="369"/>
    </row>
    <row r="96" ht="26" customHeight="1" spans="1:5" x14ac:dyDescent="0.25">
      <c r="A96" s="370"/>
      <c r="B96" s="355"/>
      <c r="C96" s="370"/>
      <c r="D96" s="371"/>
      <c r="E96" s="369"/>
    </row>
    <row r="97" ht="26" customHeight="1" spans="1:5" x14ac:dyDescent="0.25">
      <c r="A97" s="370"/>
      <c r="B97" s="355"/>
      <c r="C97" s="370"/>
      <c r="D97" s="371"/>
      <c r="E97" s="369"/>
    </row>
    <row r="98" ht="26" customHeight="1" spans="1:5" x14ac:dyDescent="0.25">
      <c r="A98" s="370"/>
      <c r="B98" s="355"/>
      <c r="C98" s="370"/>
      <c r="D98" s="371"/>
      <c r="E98" s="369"/>
    </row>
    <row r="99" ht="26" customHeight="1" spans="1:5" x14ac:dyDescent="0.25">
      <c r="A99" s="370"/>
      <c r="B99" s="355"/>
      <c r="C99" s="370"/>
      <c r="D99" s="371"/>
      <c r="E99" s="369"/>
    </row>
    <row r="100" ht="26" customHeight="1" spans="1:5" x14ac:dyDescent="0.25">
      <c r="A100" s="370"/>
      <c r="B100" s="355"/>
      <c r="C100" s="370"/>
      <c r="D100" s="371"/>
      <c r="E100" s="369"/>
    </row>
    <row r="101" ht="26" customHeight="1" spans="1:5" x14ac:dyDescent="0.25">
      <c r="A101" s="370"/>
      <c r="B101" s="355"/>
      <c r="C101" s="370"/>
      <c r="D101" s="371"/>
      <c r="E101" s="369"/>
    </row>
    <row r="102" ht="26" customHeight="1" spans="1:5" x14ac:dyDescent="0.25">
      <c r="A102" s="370"/>
      <c r="B102" s="355"/>
      <c r="C102" s="370"/>
      <c r="D102" s="371"/>
      <c r="E102" s="369"/>
    </row>
    <row r="103" ht="26" customHeight="1" spans="1:5" x14ac:dyDescent="0.25">
      <c r="A103" s="370"/>
      <c r="B103" s="355"/>
      <c r="C103" s="370"/>
      <c r="D103" s="371"/>
      <c r="E103" s="369"/>
    </row>
    <row r="104" ht="26" customHeight="1" spans="1:5" x14ac:dyDescent="0.25">
      <c r="A104" s="370"/>
      <c r="B104" s="355"/>
      <c r="C104" s="370"/>
      <c r="D104" s="371"/>
      <c r="E104" s="369"/>
    </row>
    <row r="105" ht="26" customHeight="1" spans="1:5" x14ac:dyDescent="0.25">
      <c r="A105" s="370"/>
      <c r="B105" s="355"/>
      <c r="C105" s="370"/>
      <c r="D105" s="371"/>
      <c r="E105" s="369"/>
    </row>
    <row r="106" ht="26" customHeight="1" spans="1:5" x14ac:dyDescent="0.25">
      <c r="A106" s="370"/>
      <c r="B106" s="355"/>
      <c r="C106" s="370"/>
      <c r="D106" s="371"/>
      <c r="E106" s="369"/>
    </row>
    <row r="107" ht="26" customHeight="1" spans="1:5" x14ac:dyDescent="0.25">
      <c r="A107" s="370"/>
      <c r="B107" s="355"/>
      <c r="C107" s="370"/>
      <c r="D107" s="371"/>
      <c r="E107" s="369"/>
    </row>
    <row r="108" ht="26" customHeight="1" spans="1:5" x14ac:dyDescent="0.25">
      <c r="A108" s="370"/>
      <c r="B108" s="355"/>
      <c r="C108" s="370"/>
      <c r="D108" s="371"/>
      <c r="E108" s="369"/>
    </row>
    <row r="109" ht="26" customHeight="1" spans="1:5" x14ac:dyDescent="0.25">
      <c r="A109" s="370"/>
      <c r="B109" s="355"/>
      <c r="C109" s="370"/>
      <c r="D109" s="371"/>
      <c r="E109" s="369"/>
    </row>
    <row r="110" ht="26" customHeight="1" spans="1:5" x14ac:dyDescent="0.25">
      <c r="A110" s="370"/>
      <c r="B110" s="355"/>
      <c r="C110" s="370"/>
      <c r="D110" s="371"/>
      <c r="E110" s="369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 zoomScale="100" zoomScaleNormal="100">
      <selection activeCell="B4" sqref="B4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SUM(B$2:B$1048576)</f>
        <v>6530.8</v>
      </c>
    </row>
    <row r="2" ht="16" customHeight="1" spans="1:5" x14ac:dyDescent="0.25">
      <c r="A2" s="376" t="s">
        <v>341</v>
      </c>
      <c r="B2" s="379">
        <v>6100</v>
      </c>
      <c r="C2" s="376"/>
      <c r="D2" s="36" t="s">
        <v>898</v>
      </c>
      <c r="E2" s="378"/>
    </row>
    <row r="3" ht="16" customHeight="1" spans="1:5" x14ac:dyDescent="0.25">
      <c r="A3" s="36" t="s">
        <v>899</v>
      </c>
      <c r="B3" s="380">
        <v>430.8</v>
      </c>
      <c r="D3" s="36" t="s">
        <v>900</v>
      </c>
      <c r="E3" s="378">
        <f>E2-E1</f>
        <v>-6530.8</v>
      </c>
    </row>
    <row r="4" spans="1:2" x14ac:dyDescent="0.25">
      <c r="A4" s="381"/>
      <c r="B4" s="380"/>
    </row>
    <row r="5" spans="1:2" x14ac:dyDescent="0.25">
      <c r="A5" s="381"/>
      <c r="B5" s="380"/>
    </row>
    <row r="6" spans="1:2" x14ac:dyDescent="0.25">
      <c r="A6" s="381"/>
      <c r="B6" s="380"/>
    </row>
    <row r="7" spans="1:2" x14ac:dyDescent="0.25">
      <c r="A7" s="381"/>
      <c r="B7" s="380"/>
    </row>
    <row r="8" spans="1:2" x14ac:dyDescent="0.25">
      <c r="A8" s="381"/>
      <c r="B8" s="380"/>
    </row>
    <row r="9" spans="1:2" x14ac:dyDescent="0.25">
      <c r="A9" s="381"/>
      <c r="B9" s="380"/>
    </row>
    <row r="10" spans="1:3" x14ac:dyDescent="0.25">
      <c r="A10" s="381"/>
      <c r="B10" s="380"/>
      <c r="C10" s="123"/>
    </row>
    <row r="11" spans="1:3" x14ac:dyDescent="0.25">
      <c r="A11" s="381"/>
      <c r="B11" s="380"/>
      <c r="C11" s="123"/>
    </row>
    <row r="12" spans="1:3" x14ac:dyDescent="0.25">
      <c r="A12" s="381"/>
      <c r="B12" s="380"/>
      <c r="C12" s="123"/>
    </row>
    <row r="13" spans="1:3" x14ac:dyDescent="0.25">
      <c r="A13" s="381"/>
      <c r="B13" s="380"/>
      <c r="C13" s="123"/>
    </row>
    <row r="14" spans="1:3" x14ac:dyDescent="0.25">
      <c r="A14" s="381"/>
      <c r="B14" s="380"/>
      <c r="C14" s="123"/>
    </row>
    <row r="15" spans="2:3" x14ac:dyDescent="0.25">
      <c r="B15" s="123"/>
      <c r="C15" s="123"/>
    </row>
    <row r="16" spans="2:3" x14ac:dyDescent="0.25">
      <c r="B16" s="123"/>
      <c r="C16" s="12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 zoomScale="100" zoomScaleNormal="100"/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SUM(B$2:B$1048576)</f>
        <v>7406.8</v>
      </c>
    </row>
    <row r="2" ht="16" customHeight="1" spans="1:5" x14ac:dyDescent="0.25">
      <c r="A2" s="376" t="s">
        <v>341</v>
      </c>
      <c r="B2" s="379">
        <v>7000</v>
      </c>
      <c r="C2" s="376"/>
      <c r="D2" s="36" t="s">
        <v>898</v>
      </c>
      <c r="E2" s="378"/>
    </row>
    <row r="3" ht="16" customHeight="1" spans="1:5" x14ac:dyDescent="0.25">
      <c r="A3" s="36" t="s">
        <v>899</v>
      </c>
      <c r="B3" s="380">
        <v>406.8</v>
      </c>
      <c r="D3" s="36" t="s">
        <v>900</v>
      </c>
      <c r="E3" s="378">
        <f>E2-E1</f>
        <v>-7406.8</v>
      </c>
    </row>
    <row r="4" spans="1:2" x14ac:dyDescent="0.25">
      <c r="A4" s="381"/>
      <c r="B4" s="380"/>
    </row>
    <row r="5" spans="1:2" x14ac:dyDescent="0.25">
      <c r="A5" s="381"/>
      <c r="B5" s="380"/>
    </row>
    <row r="6" spans="1:2" x14ac:dyDescent="0.25">
      <c r="A6" s="381"/>
      <c r="B6" s="380"/>
    </row>
    <row r="7" spans="1:2" x14ac:dyDescent="0.25">
      <c r="A7" s="381"/>
      <c r="B7" s="380"/>
    </row>
    <row r="8" spans="1:2" x14ac:dyDescent="0.25">
      <c r="A8" s="381"/>
      <c r="B8" s="380"/>
    </row>
    <row r="9" spans="1:2" x14ac:dyDescent="0.25">
      <c r="A9" s="381"/>
      <c r="B9" s="380"/>
    </row>
    <row r="10" spans="1:3" x14ac:dyDescent="0.25">
      <c r="A10" s="381"/>
      <c r="B10" s="380"/>
      <c r="C10" s="123"/>
    </row>
    <row r="11" spans="1:3" x14ac:dyDescent="0.25">
      <c r="A11" s="381"/>
      <c r="B11" s="380"/>
      <c r="C11" s="123"/>
    </row>
    <row r="12" spans="1:3" x14ac:dyDescent="0.25">
      <c r="A12" s="381"/>
      <c r="B12" s="380"/>
      <c r="C12" s="123"/>
    </row>
    <row r="13" spans="1:3" x14ac:dyDescent="0.25">
      <c r="A13" s="381"/>
      <c r="B13" s="380"/>
      <c r="C13" s="123"/>
    </row>
    <row r="14" spans="1:3" x14ac:dyDescent="0.25">
      <c r="A14" s="381"/>
      <c r="B14" s="380"/>
      <c r="C14" s="123"/>
    </row>
    <row r="15" spans="2:3" x14ac:dyDescent="0.25">
      <c r="B15" s="123"/>
      <c r="C15" s="123"/>
    </row>
    <row r="16" spans="2:3" x14ac:dyDescent="0.25">
      <c r="B16" s="123"/>
      <c r="C16" s="123"/>
    </row>
    <row r="17" spans="2:2" x14ac:dyDescent="0.25">
      <c r="B17" s="12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zoomScale="100" zoomScaleNormal="100">
      <selection activeCell="J23" sqref="J23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SUM(B$2:B$1048576)</f>
        <v>7648.77</v>
      </c>
    </row>
    <row r="2" ht="16" customHeight="1" spans="1:5" x14ac:dyDescent="0.25">
      <c r="A2" s="376" t="s">
        <v>341</v>
      </c>
      <c r="B2" s="379">
        <v>6900</v>
      </c>
      <c r="C2" s="376"/>
      <c r="D2" s="36" t="s">
        <v>898</v>
      </c>
      <c r="E2" s="378"/>
    </row>
    <row r="3" ht="16" customHeight="1" spans="1:5" x14ac:dyDescent="0.25">
      <c r="A3" s="36" t="s">
        <v>899</v>
      </c>
      <c r="B3" s="380">
        <v>382.8</v>
      </c>
      <c r="D3" s="36" t="s">
        <v>900</v>
      </c>
      <c r="E3" s="378">
        <f>E2-E1</f>
        <v>-7648.77</v>
      </c>
    </row>
    <row r="4" spans="1:2" x14ac:dyDescent="0.25">
      <c r="A4" s="381" t="s">
        <v>867</v>
      </c>
      <c r="B4" s="380">
        <v>365.97</v>
      </c>
    </row>
    <row r="5" spans="1:2" x14ac:dyDescent="0.25">
      <c r="A5" s="381"/>
      <c r="B5" s="380"/>
    </row>
    <row r="6" spans="1:2" x14ac:dyDescent="0.25">
      <c r="A6" s="381"/>
      <c r="B6" s="380"/>
    </row>
    <row r="7" spans="1:2" x14ac:dyDescent="0.25">
      <c r="A7" s="381"/>
      <c r="B7" s="380"/>
    </row>
    <row r="8" spans="1:2" x14ac:dyDescent="0.25">
      <c r="A8" s="381"/>
      <c r="B8" s="380"/>
    </row>
    <row r="9" spans="1:2" x14ac:dyDescent="0.25">
      <c r="A9" s="381"/>
      <c r="B9" s="380"/>
    </row>
    <row r="10" spans="1:3" x14ac:dyDescent="0.25">
      <c r="A10" s="381"/>
      <c r="B10" s="380"/>
      <c r="C10" s="123"/>
    </row>
    <row r="11" spans="1:3" x14ac:dyDescent="0.25">
      <c r="A11" s="381"/>
      <c r="B11" s="380"/>
      <c r="C11" s="123"/>
    </row>
    <row r="12" spans="1:3" x14ac:dyDescent="0.25">
      <c r="A12" s="381"/>
      <c r="B12" s="380"/>
      <c r="C12" s="123"/>
    </row>
    <row r="13" spans="1:3" x14ac:dyDescent="0.25">
      <c r="A13" s="381"/>
      <c r="B13" s="380"/>
      <c r="C13" s="123"/>
    </row>
    <row r="14" spans="1:3" x14ac:dyDescent="0.25">
      <c r="A14" s="381"/>
      <c r="B14" s="380"/>
      <c r="C14" s="123"/>
    </row>
    <row r="15" spans="1:3" x14ac:dyDescent="0.25">
      <c r="A15" s="381"/>
      <c r="B15" s="123"/>
      <c r="C15" s="123"/>
    </row>
    <row r="16" spans="1:3" x14ac:dyDescent="0.25">
      <c r="A16" s="381"/>
      <c r="B16" s="123"/>
      <c r="C16" s="123"/>
    </row>
    <row r="17" spans="1:2" x14ac:dyDescent="0.25">
      <c r="A17" s="381"/>
      <c r="B17" s="123"/>
    </row>
    <row r="18" spans="1:1" x14ac:dyDescent="0.25">
      <c r="A18" s="381"/>
    </row>
    <row r="19" spans="1:1" x14ac:dyDescent="0.25">
      <c r="A19" s="381"/>
    </row>
    <row r="20" spans="1:1" x14ac:dyDescent="0.25">
      <c r="A20" s="381"/>
    </row>
    <row r="21" spans="1:1" x14ac:dyDescent="0.25">
      <c r="A21" s="381"/>
    </row>
    <row r="22" spans="1:1" x14ac:dyDescent="0.25">
      <c r="A22" s="381"/>
    </row>
    <row r="23" spans="1:1" x14ac:dyDescent="0.25">
      <c r="A23" s="381"/>
    </row>
    <row r="24" spans="1:1" x14ac:dyDescent="0.25">
      <c r="A24" s="381"/>
    </row>
    <row r="25" spans="1:1" x14ac:dyDescent="0.25">
      <c r="A25" s="381"/>
    </row>
    <row r="26" spans="1:1" x14ac:dyDescent="0.25">
      <c r="A26" s="38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 zoomScale="100" zoomScaleNormal="100"/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SUM(B$2:B$1048576)</f>
        <v>5332.8</v>
      </c>
    </row>
    <row r="2" ht="16" customHeight="1" spans="1:5" x14ac:dyDescent="0.25">
      <c r="A2" s="376" t="s">
        <v>341</v>
      </c>
      <c r="B2" s="379">
        <v>4900</v>
      </c>
      <c r="C2" s="376"/>
      <c r="D2" s="36" t="s">
        <v>898</v>
      </c>
      <c r="E2" s="378"/>
    </row>
    <row r="3" ht="16" customHeight="1" spans="1:5" x14ac:dyDescent="0.25">
      <c r="A3" s="36" t="s">
        <v>899</v>
      </c>
      <c r="B3" s="380">
        <v>382.8</v>
      </c>
      <c r="D3" s="36" t="s">
        <v>900</v>
      </c>
      <c r="E3" s="378">
        <f>E2-E1</f>
        <v>-5332.8</v>
      </c>
    </row>
    <row r="4" spans="1:2" x14ac:dyDescent="0.25">
      <c r="A4" s="381" t="s">
        <v>765</v>
      </c>
      <c r="B4" s="380">
        <v>10</v>
      </c>
    </row>
    <row r="5" spans="1:2" x14ac:dyDescent="0.25">
      <c r="A5" s="381" t="s">
        <v>570</v>
      </c>
      <c r="B5" s="380">
        <v>40</v>
      </c>
    </row>
    <row r="6" spans="1:2" x14ac:dyDescent="0.25">
      <c r="A6" s="381"/>
      <c r="B6" s="380"/>
    </row>
    <row r="7" spans="1:2" x14ac:dyDescent="0.25">
      <c r="A7" s="381"/>
      <c r="B7" s="380"/>
    </row>
    <row r="8" spans="1:2" x14ac:dyDescent="0.25">
      <c r="A8" s="381"/>
      <c r="B8" s="380"/>
    </row>
    <row r="9" spans="1:2" x14ac:dyDescent="0.25">
      <c r="A9" s="381"/>
      <c r="B9" s="380"/>
    </row>
    <row r="10" spans="1:3" x14ac:dyDescent="0.25">
      <c r="A10" s="381"/>
      <c r="B10" s="380"/>
      <c r="C10" s="123"/>
    </row>
    <row r="11" spans="1:3" x14ac:dyDescent="0.25">
      <c r="A11" s="381"/>
      <c r="B11" s="380"/>
      <c r="C11" s="123"/>
    </row>
    <row r="12" spans="1:3" x14ac:dyDescent="0.25">
      <c r="A12" s="381"/>
      <c r="B12" s="380"/>
      <c r="C12" s="123"/>
    </row>
    <row r="13" spans="1:3" x14ac:dyDescent="0.25">
      <c r="A13" s="381"/>
      <c r="B13" s="380"/>
      <c r="C13" s="123"/>
    </row>
    <row r="14" spans="1:3" x14ac:dyDescent="0.25">
      <c r="A14" s="381"/>
      <c r="B14" s="380"/>
      <c r="C14" s="123"/>
    </row>
    <row r="15" spans="2:3" x14ac:dyDescent="0.25">
      <c r="B15" s="123"/>
      <c r="C15" s="123"/>
    </row>
    <row r="16" spans="2:3" x14ac:dyDescent="0.25">
      <c r="B16" s="123"/>
      <c r="C16" s="123"/>
    </row>
    <row r="17" spans="2:2" x14ac:dyDescent="0.25">
      <c r="B17" s="12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 zoomScale="100" zoomScaleNormal="100">
      <selection activeCell="A8" sqref="A8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SUM(B$2:B$1048576)</f>
        <v>7632.6</v>
      </c>
    </row>
    <row r="2" ht="16" customHeight="1" spans="1:5" x14ac:dyDescent="0.25">
      <c r="A2" s="376" t="s">
        <v>341</v>
      </c>
      <c r="B2" s="379">
        <v>7000</v>
      </c>
      <c r="C2" s="376"/>
      <c r="D2" s="36" t="s">
        <v>898</v>
      </c>
      <c r="E2" s="378"/>
    </row>
    <row r="3" ht="16" customHeight="1" spans="1:5" x14ac:dyDescent="0.25">
      <c r="A3" s="36" t="s">
        <v>899</v>
      </c>
      <c r="B3" s="380">
        <v>406.8</v>
      </c>
      <c r="D3" s="36" t="s">
        <v>900</v>
      </c>
      <c r="E3" s="378">
        <f>E2-E1</f>
        <v>-7632.6</v>
      </c>
    </row>
    <row r="4" spans="1:2" x14ac:dyDescent="0.25">
      <c r="A4" s="381" t="s">
        <v>901</v>
      </c>
      <c r="B4" s="380">
        <f>54.67+9.42</f>
        <v>64.09</v>
      </c>
    </row>
    <row r="5" spans="1:2" x14ac:dyDescent="0.25">
      <c r="A5" s="381" t="s">
        <v>902</v>
      </c>
      <c r="B5" s="380">
        <v>11.6</v>
      </c>
    </row>
    <row r="6" spans="1:2" x14ac:dyDescent="0.25">
      <c r="A6" s="381" t="s">
        <v>901</v>
      </c>
      <c r="B6" s="380">
        <v>10.11</v>
      </c>
    </row>
    <row r="7" spans="1:2" x14ac:dyDescent="0.25">
      <c r="A7" s="381" t="s">
        <v>903</v>
      </c>
      <c r="B7" s="380">
        <v>140</v>
      </c>
    </row>
    <row r="8" spans="1:2" x14ac:dyDescent="0.25">
      <c r="A8" s="381"/>
      <c r="B8" s="380"/>
    </row>
    <row r="9" spans="1:2" x14ac:dyDescent="0.25">
      <c r="A9" s="381"/>
      <c r="B9" s="380"/>
    </row>
    <row r="10" spans="1:3" x14ac:dyDescent="0.25">
      <c r="A10" s="381"/>
      <c r="B10" s="380"/>
      <c r="C10" s="123"/>
    </row>
    <row r="11" spans="1:3" x14ac:dyDescent="0.25">
      <c r="A11" s="381"/>
      <c r="B11" s="380"/>
      <c r="C11" s="123"/>
    </row>
    <row r="12" spans="1:3" x14ac:dyDescent="0.25">
      <c r="A12" s="381"/>
      <c r="B12" s="380"/>
      <c r="C12" s="123"/>
    </row>
    <row r="13" spans="1:3" x14ac:dyDescent="0.25">
      <c r="A13" s="381"/>
      <c r="B13" s="380"/>
      <c r="C13" s="123"/>
    </row>
    <row r="14" spans="1:3" x14ac:dyDescent="0.25">
      <c r="A14" s="381"/>
      <c r="B14" s="380"/>
      <c r="C14" s="123"/>
    </row>
    <row r="15" spans="2:3" x14ac:dyDescent="0.25">
      <c r="B15" s="123"/>
      <c r="C15" s="123"/>
    </row>
    <row r="16" spans="2:3" x14ac:dyDescent="0.25">
      <c r="B16" s="123"/>
      <c r="C16" s="123"/>
    </row>
    <row r="17" spans="2:2" x14ac:dyDescent="0.25">
      <c r="B17" s="12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 zoomScale="100" zoomScaleNormal="100">
      <selection activeCell="A8" sqref="A8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SUM(B$2:B$1048576)</f>
        <v>6861.4800000000005</v>
      </c>
    </row>
    <row r="2" ht="16" customHeight="1" spans="1:5" x14ac:dyDescent="0.25">
      <c r="A2" s="376" t="s">
        <v>341</v>
      </c>
      <c r="B2" s="379">
        <v>6000</v>
      </c>
      <c r="C2" s="376"/>
      <c r="D2" s="36" t="s">
        <v>898</v>
      </c>
      <c r="E2" s="378">
        <v>10596</v>
      </c>
    </row>
    <row r="3" ht="16" customHeight="1" spans="1:5" x14ac:dyDescent="0.25">
      <c r="A3" s="36" t="s">
        <v>899</v>
      </c>
      <c r="B3" s="380">
        <v>406.8</v>
      </c>
      <c r="D3" s="36" t="s">
        <v>900</v>
      </c>
      <c r="E3" s="378">
        <f>E2-E1</f>
        <v>3734.5199999999995</v>
      </c>
    </row>
    <row r="4" spans="1:2" x14ac:dyDescent="0.25">
      <c r="A4" s="381" t="s">
        <v>864</v>
      </c>
      <c r="B4" s="380">
        <f>32.41+5.44+18.08</f>
        <v>55.92999999999999</v>
      </c>
    </row>
    <row r="5" spans="1:2" x14ac:dyDescent="0.25">
      <c r="A5" s="381" t="s">
        <v>902</v>
      </c>
      <c r="B5" s="380">
        <v>11.6</v>
      </c>
    </row>
    <row r="6" spans="1:2" x14ac:dyDescent="0.25">
      <c r="A6" s="381" t="s">
        <v>901</v>
      </c>
      <c r="B6" s="380">
        <v>7.15</v>
      </c>
    </row>
    <row r="7" spans="1:2" x14ac:dyDescent="0.25">
      <c r="A7" s="381" t="s">
        <v>892</v>
      </c>
      <c r="B7" s="380">
        <v>380</v>
      </c>
    </row>
    <row r="8" spans="1:2" x14ac:dyDescent="0.25">
      <c r="A8" s="381"/>
      <c r="B8" s="380"/>
    </row>
    <row r="9" spans="1:2" x14ac:dyDescent="0.25">
      <c r="A9" s="381"/>
      <c r="B9" s="380"/>
    </row>
    <row r="10" spans="1:3" x14ac:dyDescent="0.25">
      <c r="A10" s="381"/>
      <c r="B10" s="380"/>
      <c r="C10" s="123"/>
    </row>
    <row r="11" spans="1:3" x14ac:dyDescent="0.25">
      <c r="A11" s="381"/>
      <c r="B11" s="380"/>
      <c r="C11" s="123"/>
    </row>
    <row r="12" spans="1:3" x14ac:dyDescent="0.25">
      <c r="A12" s="381"/>
      <c r="B12" s="380"/>
      <c r="C12" s="123"/>
    </row>
    <row r="13" spans="1:3" x14ac:dyDescent="0.25">
      <c r="A13" s="381"/>
      <c r="B13" s="380"/>
      <c r="C13" s="123"/>
    </row>
    <row r="14" spans="1:3" x14ac:dyDescent="0.25">
      <c r="A14" s="381"/>
      <c r="B14" s="380"/>
      <c r="C14" s="123"/>
    </row>
    <row r="15" spans="2:3" x14ac:dyDescent="0.25">
      <c r="B15" s="123"/>
      <c r="C15" s="123"/>
    </row>
    <row r="16" spans="2:3" x14ac:dyDescent="0.25">
      <c r="B16" s="123"/>
      <c r="C16" s="123"/>
    </row>
    <row r="17" spans="2:2" x14ac:dyDescent="0.25">
      <c r="B17" s="12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 zoomScale="100" zoomScaleNormal="100">
      <selection activeCell="B10" sqref="B10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SUM(B$2:B$1048576)</f>
        <v>6720.095</v>
      </c>
    </row>
    <row r="2" ht="16" customHeight="1" spans="1:5" x14ac:dyDescent="0.25">
      <c r="A2" s="376" t="s">
        <v>341</v>
      </c>
      <c r="B2" s="379">
        <v>5950</v>
      </c>
      <c r="C2" s="376"/>
      <c r="D2" s="36" t="s">
        <v>898</v>
      </c>
      <c r="E2" s="378"/>
    </row>
    <row r="3" ht="16" customHeight="1" spans="1:5" x14ac:dyDescent="0.25">
      <c r="A3" s="36" t="s">
        <v>899</v>
      </c>
      <c r="B3" s="380">
        <v>406.8</v>
      </c>
      <c r="D3" s="36" t="s">
        <v>900</v>
      </c>
      <c r="E3" s="378">
        <f>E2-E1</f>
        <v>-6720.095</v>
      </c>
    </row>
    <row r="4" spans="1:2" x14ac:dyDescent="0.25">
      <c r="A4" s="381" t="s">
        <v>568</v>
      </c>
      <c r="B4" s="380">
        <f>121.98/2</f>
        <v>60.99</v>
      </c>
    </row>
    <row r="5" spans="1:2" x14ac:dyDescent="0.25">
      <c r="A5" s="381" t="s">
        <v>904</v>
      </c>
      <c r="B5" s="380">
        <v>178.07</v>
      </c>
    </row>
    <row r="6" spans="1:2" x14ac:dyDescent="0.25">
      <c r="A6" s="381" t="s">
        <v>905</v>
      </c>
      <c r="B6" s="380">
        <f>2.06+3.12</f>
        <v>5.18</v>
      </c>
    </row>
    <row r="7" spans="1:2" x14ac:dyDescent="0.25">
      <c r="A7" s="381" t="s">
        <v>906</v>
      </c>
      <c r="B7" s="380">
        <f>45.95/2</f>
        <v>22.975</v>
      </c>
    </row>
    <row r="8" spans="1:2" x14ac:dyDescent="0.25">
      <c r="A8" s="381" t="s">
        <v>907</v>
      </c>
      <c r="B8" s="380">
        <f>(40+20+50+30.28)/2</f>
        <v>70.14</v>
      </c>
    </row>
    <row r="9" spans="1:2" x14ac:dyDescent="0.25">
      <c r="A9" s="381" t="s">
        <v>907</v>
      </c>
      <c r="B9" s="380">
        <v>15.66</v>
      </c>
    </row>
    <row r="10" spans="1:3" x14ac:dyDescent="0.25">
      <c r="A10" s="381" t="s">
        <v>907</v>
      </c>
      <c r="B10" s="380">
        <v>10.28</v>
      </c>
      <c r="C10" s="123"/>
    </row>
    <row r="11" spans="1:3" x14ac:dyDescent="0.25">
      <c r="A11" s="381"/>
      <c r="B11" s="380"/>
      <c r="C11" s="123"/>
    </row>
    <row r="12" spans="1:3" x14ac:dyDescent="0.25">
      <c r="A12" s="381"/>
      <c r="B12" s="380"/>
      <c r="C12" s="123"/>
    </row>
    <row r="13" spans="1:3" x14ac:dyDescent="0.25">
      <c r="A13" s="381"/>
      <c r="B13" s="380"/>
      <c r="C13" s="123"/>
    </row>
    <row r="14" spans="1:3" x14ac:dyDescent="0.25">
      <c r="A14" s="381"/>
      <c r="B14" s="380"/>
      <c r="C14" s="123"/>
    </row>
    <row r="15" spans="2:3" x14ac:dyDescent="0.25">
      <c r="B15" s="123"/>
      <c r="C15" s="123"/>
    </row>
    <row r="16" spans="2:3" x14ac:dyDescent="0.25">
      <c r="B16" s="123"/>
      <c r="C16" s="123"/>
    </row>
    <row r="17" spans="2:2" x14ac:dyDescent="0.25">
      <c r="B17" s="12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 zoomScale="100" zoomScaleNormal="100">
      <selection activeCell="F2" sqref="F2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SUM(B$2:B$1048576)</f>
        <v>7481.425000000001</v>
      </c>
    </row>
    <row r="2" ht="16" customHeight="1" spans="1:5" x14ac:dyDescent="0.25">
      <c r="A2" s="376" t="s">
        <v>341</v>
      </c>
      <c r="B2" s="379">
        <v>6500</v>
      </c>
      <c r="C2" s="376"/>
      <c r="D2" s="36" t="s">
        <v>898</v>
      </c>
      <c r="E2" s="378"/>
    </row>
    <row r="3" ht="16" customHeight="1" spans="1:5" x14ac:dyDescent="0.25">
      <c r="A3" s="36" t="s">
        <v>899</v>
      </c>
      <c r="B3" s="380">
        <v>406.8</v>
      </c>
      <c r="D3" s="36" t="s">
        <v>900</v>
      </c>
      <c r="E3" s="378">
        <f>E2-E1</f>
        <v>-7481.425000000001</v>
      </c>
    </row>
    <row r="4" spans="1:2" x14ac:dyDescent="0.25">
      <c r="A4" s="381" t="s">
        <v>568</v>
      </c>
      <c r="B4" s="380">
        <f>121.98/2</f>
        <v>60.99</v>
      </c>
    </row>
    <row r="5" spans="1:2" x14ac:dyDescent="0.25">
      <c r="A5" s="381" t="s">
        <v>904</v>
      </c>
      <c r="B5" s="380">
        <v>178.07</v>
      </c>
    </row>
    <row r="6" spans="1:2" x14ac:dyDescent="0.25">
      <c r="A6" s="381" t="s">
        <v>864</v>
      </c>
      <c r="B6" s="380">
        <v>50.01</v>
      </c>
    </row>
    <row r="7" spans="1:2" x14ac:dyDescent="0.25">
      <c r="A7" s="381" t="s">
        <v>908</v>
      </c>
      <c r="B7" s="380">
        <v>1.5</v>
      </c>
    </row>
    <row r="8" spans="1:2" x14ac:dyDescent="0.25">
      <c r="A8" s="381" t="s">
        <v>909</v>
      </c>
      <c r="B8" s="380">
        <v>16</v>
      </c>
    </row>
    <row r="9" spans="1:2" x14ac:dyDescent="0.25">
      <c r="A9" s="381" t="s">
        <v>901</v>
      </c>
      <c r="B9" s="380">
        <v>9.76</v>
      </c>
    </row>
    <row r="10" spans="1:3" x14ac:dyDescent="0.25">
      <c r="A10" s="381" t="s">
        <v>905</v>
      </c>
      <c r="B10" s="380">
        <f>2.06+3.12</f>
        <v>5.18</v>
      </c>
      <c r="C10" s="123"/>
    </row>
    <row r="11" spans="1:3" x14ac:dyDescent="0.25">
      <c r="A11" s="381" t="s">
        <v>906</v>
      </c>
      <c r="B11" s="380">
        <f>45.95/2</f>
        <v>22.975</v>
      </c>
      <c r="C11" s="123"/>
    </row>
    <row r="12" spans="1:3" x14ac:dyDescent="0.25">
      <c r="A12" s="381" t="s">
        <v>907</v>
      </c>
      <c r="B12" s="380">
        <f>(40+20+50+30.28)/2</f>
        <v>70.14</v>
      </c>
      <c r="C12" s="123"/>
    </row>
    <row r="13" spans="1:3" x14ac:dyDescent="0.25">
      <c r="A13" s="381" t="s">
        <v>887</v>
      </c>
      <c r="B13" s="380">
        <v>150</v>
      </c>
      <c r="C13" s="123"/>
    </row>
    <row r="14" spans="1:3" x14ac:dyDescent="0.25">
      <c r="A14" s="381" t="s">
        <v>901</v>
      </c>
      <c r="B14" s="380">
        <v>10</v>
      </c>
      <c r="C14" s="123"/>
    </row>
    <row r="15" spans="2:3" x14ac:dyDescent="0.25">
      <c r="B15" s="123"/>
      <c r="C15" s="123"/>
    </row>
    <row r="16" spans="2:3" x14ac:dyDescent="0.25">
      <c r="B16" s="123"/>
      <c r="C16" s="123"/>
    </row>
    <row r="17" spans="2:2" x14ac:dyDescent="0.25">
      <c r="B17" s="12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 zoomScale="100" zoomScaleNormal="100">
      <selection activeCell="F2" sqref="F2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SUM(B$2:B$1048576)</f>
        <v>6194.8</v>
      </c>
    </row>
    <row r="2" ht="16" customHeight="1" spans="1:5" x14ac:dyDescent="0.25">
      <c r="A2" s="376" t="s">
        <v>341</v>
      </c>
      <c r="B2" s="379">
        <v>5700</v>
      </c>
      <c r="C2" s="376"/>
      <c r="D2" s="36" t="s">
        <v>898</v>
      </c>
      <c r="E2" s="378"/>
    </row>
    <row r="3" ht="16" customHeight="1" spans="1:5" x14ac:dyDescent="0.25">
      <c r="A3" s="36" t="s">
        <v>899</v>
      </c>
      <c r="B3" s="380">
        <v>406.8</v>
      </c>
      <c r="D3" s="36" t="s">
        <v>900</v>
      </c>
      <c r="E3" s="378">
        <f>E2-E1</f>
        <v>-6194.8</v>
      </c>
    </row>
    <row r="4" spans="1:2" x14ac:dyDescent="0.25">
      <c r="A4" s="381" t="s">
        <v>765</v>
      </c>
      <c r="B4" s="380">
        <v>8</v>
      </c>
    </row>
    <row r="5" spans="1:2" x14ac:dyDescent="0.25">
      <c r="A5" s="381" t="s">
        <v>574</v>
      </c>
      <c r="B5" s="380">
        <v>80</v>
      </c>
    </row>
    <row r="6" spans="1:2" x14ac:dyDescent="0.25">
      <c r="A6" s="381"/>
      <c r="B6" s="380"/>
    </row>
    <row r="7" spans="1:2" x14ac:dyDescent="0.25">
      <c r="A7" s="381"/>
      <c r="B7" s="380"/>
    </row>
    <row r="8" spans="1:2" x14ac:dyDescent="0.25">
      <c r="A8" s="381"/>
      <c r="B8" s="380"/>
    </row>
    <row r="9" spans="1:2" x14ac:dyDescent="0.25">
      <c r="A9" s="381"/>
      <c r="B9" s="380"/>
    </row>
    <row r="10" spans="1:3" x14ac:dyDescent="0.25">
      <c r="A10" s="381"/>
      <c r="B10" s="380"/>
      <c r="C10" s="123"/>
    </row>
    <row r="11" spans="1:3" x14ac:dyDescent="0.25">
      <c r="A11" s="381"/>
      <c r="B11" s="380"/>
      <c r="C11" s="123"/>
    </row>
    <row r="12" spans="1:3" x14ac:dyDescent="0.25">
      <c r="A12" s="381"/>
      <c r="B12" s="380"/>
      <c r="C12" s="123"/>
    </row>
    <row r="13" spans="1:3" x14ac:dyDescent="0.25">
      <c r="A13" s="381"/>
      <c r="B13" s="380"/>
      <c r="C13" s="123"/>
    </row>
    <row r="14" spans="1:3" x14ac:dyDescent="0.25">
      <c r="A14" s="381"/>
      <c r="B14" s="380"/>
      <c r="C14" s="123"/>
    </row>
    <row r="15" spans="2:3" x14ac:dyDescent="0.25">
      <c r="B15" s="123"/>
      <c r="C15" s="123"/>
    </row>
    <row r="16" spans="2:3" x14ac:dyDescent="0.25">
      <c r="B16" s="123"/>
      <c r="C16" s="123"/>
    </row>
    <row r="17" spans="2:2" x14ac:dyDescent="0.25">
      <c r="B17" s="12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 zoomScale="100" zoomScaleNormal="100">
      <selection activeCell="F2" sqref="F2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SUM(B$2:B$1048576)</f>
        <v>6454.8</v>
      </c>
    </row>
    <row r="2" ht="16" customHeight="1" spans="1:5" x14ac:dyDescent="0.25">
      <c r="A2" s="376" t="s">
        <v>341</v>
      </c>
      <c r="B2" s="379">
        <v>5400</v>
      </c>
      <c r="C2" s="376"/>
      <c r="D2" s="36" t="s">
        <v>898</v>
      </c>
      <c r="E2" s="378"/>
    </row>
    <row r="3" ht="16" customHeight="1" spans="1:5" x14ac:dyDescent="0.25">
      <c r="A3" s="36" t="s">
        <v>899</v>
      </c>
      <c r="B3" s="380">
        <v>406.8</v>
      </c>
      <c r="D3" s="36" t="s">
        <v>900</v>
      </c>
      <c r="E3" s="378">
        <f>E2-E1</f>
        <v>-6454.8</v>
      </c>
    </row>
    <row r="4" spans="1:2" x14ac:dyDescent="0.25">
      <c r="A4" s="381" t="s">
        <v>910</v>
      </c>
      <c r="B4" s="380">
        <v>60</v>
      </c>
    </row>
    <row r="5" spans="1:2" x14ac:dyDescent="0.25">
      <c r="A5" s="381" t="s">
        <v>765</v>
      </c>
      <c r="B5" s="380">
        <v>80</v>
      </c>
    </row>
    <row r="6" spans="1:2" x14ac:dyDescent="0.25">
      <c r="A6" s="381" t="s">
        <v>887</v>
      </c>
      <c r="B6" s="380">
        <v>500</v>
      </c>
    </row>
    <row r="7" spans="1:2" x14ac:dyDescent="0.25">
      <c r="A7" s="381" t="s">
        <v>909</v>
      </c>
      <c r="B7" s="380">
        <v>8</v>
      </c>
    </row>
    <row r="8" spans="1:2" x14ac:dyDescent="0.25">
      <c r="A8" s="381"/>
      <c r="B8" s="380"/>
    </row>
    <row r="9" spans="1:2" x14ac:dyDescent="0.25">
      <c r="A9" s="381"/>
      <c r="B9" s="380"/>
    </row>
    <row r="10" spans="1:3" x14ac:dyDescent="0.25">
      <c r="A10" s="381"/>
      <c r="B10" s="380"/>
      <c r="C10" s="123"/>
    </row>
    <row r="11" spans="1:3" x14ac:dyDescent="0.25">
      <c r="A11" s="381"/>
      <c r="B11" s="380"/>
      <c r="C11" s="123"/>
    </row>
    <row r="12" spans="1:3" x14ac:dyDescent="0.25">
      <c r="A12" s="381"/>
      <c r="B12" s="380"/>
      <c r="C12" s="123"/>
    </row>
    <row r="13" spans="1:3" x14ac:dyDescent="0.25">
      <c r="A13" s="381"/>
      <c r="B13" s="380"/>
      <c r="C13" s="123"/>
    </row>
    <row r="14" spans="1:3" x14ac:dyDescent="0.25">
      <c r="A14" s="381"/>
      <c r="B14" s="380"/>
      <c r="C14" s="123"/>
    </row>
    <row r="15" spans="2:3" x14ac:dyDescent="0.25">
      <c r="B15" s="123"/>
      <c r="C15" s="123"/>
    </row>
    <row r="16" spans="2:3" x14ac:dyDescent="0.25">
      <c r="B16" s="123"/>
      <c r="C16" s="123"/>
    </row>
    <row r="17" spans="2:2" x14ac:dyDescent="0.25">
      <c r="B17" s="12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 zoomScale="100" zoomScaleNormal="100">
      <selection activeCell="F2" sqref="F2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SUM(B$2:B$1048576)</f>
        <v>8347.320000000002</v>
      </c>
    </row>
    <row r="2" ht="16" customHeight="1" spans="1:5" x14ac:dyDescent="0.25">
      <c r="A2" s="376" t="s">
        <v>341</v>
      </c>
      <c r="B2" s="379">
        <f>'Sold Stock'!F116</f>
        <v>8246.7</v>
      </c>
      <c r="C2" s="376"/>
      <c r="D2" s="36" t="s">
        <v>898</v>
      </c>
      <c r="E2" s="378"/>
    </row>
    <row r="3" ht="16" customHeight="1" spans="1:5" x14ac:dyDescent="0.25">
      <c r="A3" s="36" t="s">
        <v>864</v>
      </c>
      <c r="B3" s="380">
        <v>7.03</v>
      </c>
      <c r="D3" s="36" t="s">
        <v>900</v>
      </c>
      <c r="E3" s="378">
        <f>E2-E1</f>
        <v>-8347.320000000002</v>
      </c>
    </row>
    <row r="4" spans="1:2" x14ac:dyDescent="0.25">
      <c r="A4" s="381" t="s">
        <v>911</v>
      </c>
      <c r="B4" s="380">
        <v>80</v>
      </c>
    </row>
    <row r="5" spans="1:2" x14ac:dyDescent="0.25">
      <c r="A5" s="381" t="s">
        <v>912</v>
      </c>
      <c r="B5" s="380">
        <v>13.59</v>
      </c>
    </row>
    <row r="6" spans="1:2" x14ac:dyDescent="0.25">
      <c r="A6" s="381"/>
      <c r="B6" s="380"/>
    </row>
    <row r="7" spans="1:2" x14ac:dyDescent="0.25">
      <c r="A7" s="381"/>
      <c r="B7" s="380"/>
    </row>
    <row r="8" spans="1:2" x14ac:dyDescent="0.25">
      <c r="A8" s="381"/>
      <c r="B8" s="380"/>
    </row>
    <row r="9" spans="1:2" x14ac:dyDescent="0.25">
      <c r="A9" s="381"/>
      <c r="B9" s="380"/>
    </row>
    <row r="10" spans="1:3" x14ac:dyDescent="0.25">
      <c r="A10" s="381"/>
      <c r="B10" s="380"/>
      <c r="C10" s="123"/>
    </row>
    <row r="11" spans="1:3" x14ac:dyDescent="0.25">
      <c r="A11" s="381"/>
      <c r="B11" s="380"/>
      <c r="C11" s="123"/>
    </row>
    <row r="12" spans="1:3" x14ac:dyDescent="0.25">
      <c r="A12" s="381"/>
      <c r="B12" s="380"/>
      <c r="C12" s="123"/>
    </row>
    <row r="13" spans="1:3" x14ac:dyDescent="0.25">
      <c r="A13" s="381"/>
      <c r="B13" s="380"/>
      <c r="C13" s="123"/>
    </row>
    <row r="14" spans="1:3" x14ac:dyDescent="0.25">
      <c r="A14" s="381"/>
      <c r="B14" s="380"/>
      <c r="C14" s="123"/>
    </row>
    <row r="15" spans="2:3" x14ac:dyDescent="0.25">
      <c r="B15" s="123"/>
      <c r="C15" s="123"/>
    </row>
    <row r="16" spans="2:3" x14ac:dyDescent="0.25">
      <c r="B16" s="123"/>
      <c r="C16" s="123"/>
    </row>
    <row r="17" spans="2:2" x14ac:dyDescent="0.25">
      <c r="B17" s="12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 zoomScale="100" zoomScaleNormal="100">
      <selection activeCell="A16" sqref="A16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SUM(B$2:B$1048576)</f>
        <v>9186.029999999999</v>
      </c>
    </row>
    <row r="2" ht="16" customHeight="1" spans="1:5" x14ac:dyDescent="0.25">
      <c r="A2" s="376" t="s">
        <v>341</v>
      </c>
      <c r="B2" s="379">
        <v>7964</v>
      </c>
      <c r="C2" s="376"/>
      <c r="D2" s="36" t="s">
        <v>898</v>
      </c>
      <c r="E2" s="378"/>
    </row>
    <row r="3" ht="16" customHeight="1" spans="1:5" x14ac:dyDescent="0.25">
      <c r="A3" s="36" t="s">
        <v>899</v>
      </c>
      <c r="B3" s="380">
        <v>442.8</v>
      </c>
      <c r="D3" s="36" t="s">
        <v>900</v>
      </c>
      <c r="E3" s="378">
        <f>E2-E1</f>
        <v>-9186.029999999999</v>
      </c>
    </row>
    <row r="4" spans="1:2" x14ac:dyDescent="0.25">
      <c r="A4" s="381" t="s">
        <v>559</v>
      </c>
      <c r="B4" s="380">
        <v>24.95</v>
      </c>
    </row>
    <row r="5" spans="1:2" x14ac:dyDescent="0.25">
      <c r="A5" s="381" t="s">
        <v>560</v>
      </c>
      <c r="B5" s="380">
        <v>7.95</v>
      </c>
    </row>
    <row r="6" spans="1:2" x14ac:dyDescent="0.25">
      <c r="A6" s="381" t="s">
        <v>864</v>
      </c>
      <c r="B6" s="380">
        <v>32.33</v>
      </c>
    </row>
    <row r="7" spans="1:2" x14ac:dyDescent="0.25">
      <c r="A7" s="381" t="s">
        <v>902</v>
      </c>
      <c r="B7" s="380">
        <v>11.4</v>
      </c>
    </row>
    <row r="8" spans="1:2" x14ac:dyDescent="0.25">
      <c r="A8" s="381" t="s">
        <v>561</v>
      </c>
      <c r="B8" s="380">
        <v>3.3</v>
      </c>
    </row>
    <row r="9" spans="1:2" x14ac:dyDescent="0.25">
      <c r="A9" s="381" t="s">
        <v>887</v>
      </c>
      <c r="B9" s="380">
        <v>400</v>
      </c>
    </row>
    <row r="10" spans="1:3" x14ac:dyDescent="0.25">
      <c r="A10" s="381" t="s">
        <v>864</v>
      </c>
      <c r="B10" s="380">
        <v>10.05</v>
      </c>
      <c r="C10" s="123"/>
    </row>
    <row r="11" spans="1:3" x14ac:dyDescent="0.25">
      <c r="A11" s="381" t="s">
        <v>913</v>
      </c>
      <c r="B11" s="380">
        <v>220</v>
      </c>
      <c r="C11" s="123"/>
    </row>
    <row r="12" spans="1:3" x14ac:dyDescent="0.25">
      <c r="A12" s="381" t="s">
        <v>909</v>
      </c>
      <c r="B12" s="380">
        <v>16</v>
      </c>
      <c r="C12" s="123"/>
    </row>
    <row r="13" spans="1:3" x14ac:dyDescent="0.25">
      <c r="A13" s="381" t="s">
        <v>914</v>
      </c>
      <c r="B13" s="380">
        <v>27.59</v>
      </c>
      <c r="C13" s="123"/>
    </row>
    <row r="14" spans="1:3" x14ac:dyDescent="0.25">
      <c r="A14" s="381" t="s">
        <v>915</v>
      </c>
      <c r="B14" s="380">
        <v>15.24</v>
      </c>
      <c r="C14" s="123"/>
    </row>
    <row r="15" spans="1:3" x14ac:dyDescent="0.25">
      <c r="A15" s="381" t="s">
        <v>864</v>
      </c>
      <c r="B15" s="123">
        <v>10.42</v>
      </c>
      <c r="C15" s="123"/>
    </row>
    <row r="16" spans="2:3" x14ac:dyDescent="0.25">
      <c r="B16" s="123"/>
      <c r="C16" s="123"/>
    </row>
    <row r="17" spans="2:2" x14ac:dyDescent="0.25">
      <c r="B17" s="12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workbookViewId="0" zoomScale="100" zoomScaleNormal="100">
      <selection activeCell="E4" sqref="E4"/>
    </sheetView>
  </sheetViews>
  <sheetFormatPr defaultRowHeight="15" outlineLevelRow="0" outlineLevelCol="0" x14ac:dyDescent="0" defaultColWidth="8.83203125"/>
  <cols>
    <col min="2" max="2" width="11.33203125" customWidth="1"/>
    <col min="5" max="5" width="16.664062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SUM(B$2:B$1048576)</f>
        <v>6409.990000000001</v>
      </c>
    </row>
    <row r="2" ht="16" customHeight="1" spans="1:5" x14ac:dyDescent="0.25">
      <c r="A2" s="376" t="s">
        <v>341</v>
      </c>
      <c r="B2" s="379">
        <v>5950</v>
      </c>
      <c r="C2" s="376"/>
      <c r="D2" s="36" t="s">
        <v>898</v>
      </c>
      <c r="E2" s="378"/>
    </row>
    <row r="3" ht="32" customHeight="1" spans="1:5" x14ac:dyDescent="0.25">
      <c r="A3" s="36" t="s">
        <v>899</v>
      </c>
      <c r="B3" s="380">
        <v>406.8</v>
      </c>
      <c r="D3" s="36" t="s">
        <v>900</v>
      </c>
      <c r="E3" s="378">
        <f>E2-E1</f>
        <v>-6409.990000000001</v>
      </c>
    </row>
    <row r="4" spans="1:2" x14ac:dyDescent="0.25">
      <c r="A4" s="381" t="s">
        <v>864</v>
      </c>
      <c r="B4" s="380">
        <v>50.1</v>
      </c>
    </row>
    <row r="5" spans="1:2" x14ac:dyDescent="0.25">
      <c r="A5" s="381" t="s">
        <v>916</v>
      </c>
      <c r="B5" s="380">
        <v>3.09</v>
      </c>
    </row>
    <row r="6" spans="1:19" x14ac:dyDescent="0.25">
      <c r="A6" s="381"/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  <c r="N6" s="380"/>
      <c r="O6" s="380"/>
      <c r="P6" s="380"/>
      <c r="Q6" s="380"/>
      <c r="R6" s="380"/>
      <c r="S6" s="380"/>
    </row>
    <row r="7" spans="1:19" x14ac:dyDescent="0.25">
      <c r="A7" s="381"/>
      <c r="B7" s="380"/>
      <c r="C7" s="380"/>
      <c r="D7" s="380"/>
      <c r="E7" s="380"/>
      <c r="F7" s="380"/>
      <c r="G7" s="380"/>
      <c r="H7" s="380"/>
      <c r="I7" s="380"/>
      <c r="J7" s="380"/>
      <c r="K7" s="380"/>
      <c r="L7" s="380"/>
      <c r="M7" s="380"/>
      <c r="N7" s="380"/>
      <c r="O7" s="380"/>
      <c r="P7" s="380"/>
      <c r="Q7" s="380"/>
      <c r="R7" s="380"/>
      <c r="S7" s="380"/>
    </row>
    <row r="8" spans="1:19" x14ac:dyDescent="0.25">
      <c r="A8" s="381"/>
      <c r="B8" s="380"/>
      <c r="C8" s="380"/>
      <c r="D8" s="380"/>
      <c r="E8" s="380"/>
      <c r="F8" s="380"/>
      <c r="G8" s="380"/>
      <c r="H8" s="380"/>
      <c r="I8" s="380"/>
      <c r="J8" s="380"/>
      <c r="K8" s="380"/>
      <c r="L8" s="380"/>
      <c r="M8" s="380"/>
      <c r="N8" s="380"/>
      <c r="O8" s="380"/>
      <c r="P8" s="380"/>
      <c r="Q8" s="380"/>
      <c r="R8" s="380"/>
      <c r="S8" s="380"/>
    </row>
    <row r="9" spans="1:19" x14ac:dyDescent="0.25">
      <c r="A9" s="381"/>
      <c r="B9" s="380"/>
      <c r="C9" s="380"/>
      <c r="D9" s="380"/>
      <c r="E9" s="380"/>
      <c r="F9" s="380"/>
      <c r="G9" s="380"/>
      <c r="H9" s="380"/>
      <c r="I9" s="380"/>
      <c r="J9" s="380"/>
      <c r="K9" s="380"/>
      <c r="L9" s="380"/>
      <c r="M9" s="380"/>
      <c r="N9" s="380"/>
      <c r="O9" s="380"/>
      <c r="P9" s="380"/>
      <c r="Q9" s="380"/>
      <c r="R9" s="380"/>
      <c r="S9" s="380"/>
    </row>
    <row r="10" spans="1:19" x14ac:dyDescent="0.25">
      <c r="A10" s="381"/>
      <c r="B10" s="380"/>
      <c r="C10" s="380"/>
      <c r="D10" s="380"/>
      <c r="E10" s="380"/>
      <c r="F10" s="380"/>
      <c r="G10" s="380"/>
      <c r="H10" s="380"/>
      <c r="I10" s="380"/>
      <c r="J10" s="380"/>
      <c r="K10" s="380"/>
      <c r="L10" s="380"/>
      <c r="M10" s="380"/>
      <c r="N10" s="380"/>
      <c r="O10" s="380"/>
      <c r="P10" s="380"/>
      <c r="Q10" s="380"/>
      <c r="R10" s="380"/>
      <c r="S10" s="380"/>
    </row>
    <row r="11" spans="1:19" x14ac:dyDescent="0.25">
      <c r="A11" s="381"/>
      <c r="B11" s="380"/>
      <c r="C11" s="380"/>
      <c r="D11" s="380"/>
      <c r="E11" s="380"/>
      <c r="F11" s="380"/>
      <c r="G11" s="380"/>
      <c r="H11" s="380"/>
      <c r="I11" s="380"/>
      <c r="J11" s="380"/>
      <c r="K11" s="380"/>
      <c r="L11" s="380"/>
      <c r="M11" s="380"/>
      <c r="N11" s="380"/>
      <c r="O11" s="380"/>
      <c r="P11" s="380"/>
      <c r="Q11" s="380"/>
      <c r="R11" s="380"/>
      <c r="S11" s="380"/>
    </row>
    <row r="12" spans="1:19" x14ac:dyDescent="0.25">
      <c r="A12" s="381"/>
      <c r="B12" s="380"/>
      <c r="C12" s="380"/>
      <c r="D12" s="380"/>
      <c r="E12" s="380"/>
      <c r="F12" s="380"/>
      <c r="G12" s="380"/>
      <c r="H12" s="380"/>
      <c r="I12" s="380"/>
      <c r="J12" s="380"/>
      <c r="K12" s="380"/>
      <c r="L12" s="380"/>
      <c r="M12" s="380"/>
      <c r="N12" s="380"/>
      <c r="O12" s="380"/>
      <c r="P12" s="380"/>
      <c r="Q12" s="380"/>
      <c r="R12" s="380"/>
      <c r="S12" s="380"/>
    </row>
    <row r="13" spans="1:19" x14ac:dyDescent="0.25">
      <c r="A13" s="381"/>
      <c r="B13" s="380"/>
      <c r="C13" s="380"/>
      <c r="D13" s="380"/>
      <c r="E13" s="380"/>
      <c r="F13" s="380"/>
      <c r="G13" s="380"/>
      <c r="H13" s="380"/>
      <c r="I13" s="380"/>
      <c r="J13" s="380"/>
      <c r="K13" s="380"/>
      <c r="L13" s="380"/>
      <c r="M13" s="380"/>
      <c r="N13" s="380"/>
      <c r="O13" s="380"/>
      <c r="P13" s="380"/>
      <c r="Q13" s="380"/>
      <c r="R13" s="380"/>
      <c r="S13" s="380"/>
    </row>
    <row r="14" spans="1:19" x14ac:dyDescent="0.25">
      <c r="A14" s="381"/>
      <c r="B14" s="380"/>
      <c r="C14" s="380"/>
      <c r="D14" s="380"/>
      <c r="E14" s="380"/>
      <c r="F14" s="380"/>
      <c r="G14" s="380"/>
      <c r="H14" s="380"/>
      <c r="I14" s="380"/>
      <c r="J14" s="380"/>
      <c r="K14" s="380"/>
      <c r="L14" s="380"/>
      <c r="M14" s="380"/>
      <c r="N14" s="380"/>
      <c r="O14" s="380"/>
      <c r="P14" s="380"/>
      <c r="Q14" s="380"/>
      <c r="R14" s="380"/>
      <c r="S14" s="380"/>
    </row>
    <row r="15" spans="2:19" x14ac:dyDescent="0.25">
      <c r="B15" s="380"/>
      <c r="C15" s="380"/>
      <c r="D15" s="380"/>
      <c r="E15" s="380"/>
      <c r="F15" s="380"/>
      <c r="G15" s="380"/>
      <c r="H15" s="380"/>
      <c r="I15" s="380"/>
      <c r="J15" s="380"/>
      <c r="K15" s="380"/>
      <c r="L15" s="380"/>
      <c r="M15" s="380"/>
      <c r="N15" s="380"/>
      <c r="O15" s="380"/>
      <c r="P15" s="380"/>
      <c r="Q15" s="380"/>
      <c r="R15" s="380"/>
      <c r="S15" s="380"/>
    </row>
    <row r="16" spans="2:19" x14ac:dyDescent="0.25">
      <c r="B16" s="380"/>
      <c r="C16" s="380"/>
      <c r="D16" s="380"/>
      <c r="E16" s="380"/>
      <c r="F16" s="380"/>
      <c r="G16" s="380"/>
      <c r="H16" s="380"/>
      <c r="I16" s="380"/>
      <c r="J16" s="380"/>
      <c r="K16" s="380"/>
      <c r="L16" s="380"/>
      <c r="M16" s="380"/>
      <c r="N16" s="380"/>
      <c r="O16" s="380"/>
      <c r="P16" s="380"/>
      <c r="Q16" s="380"/>
      <c r="R16" s="380"/>
      <c r="S16" s="380"/>
    </row>
    <row r="17" spans="2:19" x14ac:dyDescent="0.25">
      <c r="B17" s="380"/>
      <c r="C17" s="380"/>
      <c r="D17" s="380"/>
      <c r="E17" s="380"/>
      <c r="F17" s="380"/>
      <c r="G17" s="380"/>
      <c r="H17" s="380"/>
      <c r="I17" s="380"/>
      <c r="J17" s="380"/>
      <c r="K17" s="380"/>
      <c r="L17" s="380"/>
      <c r="M17" s="380"/>
      <c r="N17" s="380"/>
      <c r="O17" s="380"/>
      <c r="P17" s="380"/>
      <c r="Q17" s="380"/>
      <c r="R17" s="380"/>
      <c r="S17" s="380"/>
    </row>
    <row r="18" spans="2:19" x14ac:dyDescent="0.25">
      <c r="B18" s="380"/>
      <c r="C18" s="380"/>
      <c r="D18" s="380"/>
      <c r="E18" s="380"/>
      <c r="F18" s="380"/>
      <c r="G18" s="380"/>
      <c r="H18" s="380"/>
      <c r="I18" s="380"/>
      <c r="J18" s="380"/>
      <c r="K18" s="380"/>
      <c r="L18" s="380"/>
      <c r="M18" s="380"/>
      <c r="N18" s="380"/>
      <c r="O18" s="380"/>
      <c r="P18" s="380"/>
      <c r="Q18" s="380"/>
      <c r="R18" s="380"/>
      <c r="S18" s="380"/>
    </row>
    <row r="19" spans="2:19" x14ac:dyDescent="0.25">
      <c r="B19" s="380"/>
      <c r="C19" s="380"/>
      <c r="D19" s="380"/>
      <c r="E19" s="380"/>
      <c r="F19" s="380"/>
      <c r="G19" s="380"/>
      <c r="H19" s="380"/>
      <c r="I19" s="380"/>
      <c r="J19" s="380"/>
      <c r="K19" s="380"/>
      <c r="L19" s="380"/>
      <c r="M19" s="380"/>
      <c r="N19" s="380"/>
      <c r="O19" s="380"/>
      <c r="P19" s="380"/>
      <c r="Q19" s="380"/>
      <c r="R19" s="380"/>
      <c r="S19" s="380"/>
    </row>
    <row r="20" spans="2:19" x14ac:dyDescent="0.25">
      <c r="B20" s="380"/>
      <c r="C20" s="380"/>
      <c r="D20" s="380"/>
      <c r="E20" s="380"/>
      <c r="F20" s="380"/>
      <c r="G20" s="380"/>
      <c r="H20" s="380"/>
      <c r="I20" s="380"/>
      <c r="J20" s="380"/>
      <c r="K20" s="380"/>
      <c r="L20" s="380"/>
      <c r="M20" s="380"/>
      <c r="N20" s="380"/>
      <c r="O20" s="380"/>
      <c r="P20" s="380"/>
      <c r="Q20" s="380"/>
      <c r="R20" s="380"/>
      <c r="S20" s="380"/>
    </row>
    <row r="21" spans="2:4" x14ac:dyDescent="0.25">
      <c r="B21" s="380"/>
      <c r="C21" s="380"/>
      <c r="D21" s="380"/>
    </row>
    <row r="24" spans="5:19" x14ac:dyDescent="0.25">
      <c r="E24" s="380"/>
      <c r="F24" s="380"/>
      <c r="G24" s="380"/>
      <c r="H24" s="380"/>
      <c r="I24" s="380"/>
      <c r="J24" s="380"/>
      <c r="K24" s="380"/>
      <c r="L24" s="380"/>
      <c r="M24" s="380"/>
      <c r="N24" s="380"/>
      <c r="O24" s="380"/>
      <c r="P24" s="380"/>
      <c r="Q24" s="380"/>
      <c r="R24" s="380"/>
      <c r="S24" s="380"/>
    </row>
    <row r="25" spans="5:19" x14ac:dyDescent="0.25">
      <c r="E25" s="380"/>
      <c r="F25" s="380"/>
      <c r="G25" s="380"/>
      <c r="H25" s="380"/>
      <c r="I25" s="380"/>
      <c r="J25" s="380"/>
      <c r="K25" s="380"/>
      <c r="L25" s="380"/>
      <c r="M25" s="380"/>
      <c r="N25" s="380"/>
      <c r="O25" s="380"/>
      <c r="P25" s="380"/>
      <c r="Q25" s="380"/>
      <c r="R25" s="380"/>
      <c r="S25" s="380"/>
    </row>
    <row r="26" spans="5:19" x14ac:dyDescent="0.25">
      <c r="E26" s="380"/>
      <c r="F26" s="380"/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380"/>
      <c r="S26" s="380"/>
    </row>
    <row r="27" spans="5:19" x14ac:dyDescent="0.25">
      <c r="E27" s="380"/>
      <c r="F27" s="380"/>
      <c r="G27" s="380"/>
      <c r="H27" s="380"/>
      <c r="I27" s="380"/>
      <c r="J27" s="380"/>
      <c r="K27" s="380"/>
      <c r="L27" s="380"/>
      <c r="M27" s="380"/>
      <c r="N27" s="380"/>
      <c r="O27" s="380"/>
      <c r="P27" s="380"/>
      <c r="Q27" s="380"/>
      <c r="R27" s="380"/>
      <c r="S27" s="380"/>
    </row>
    <row r="28" spans="5:19" x14ac:dyDescent="0.25">
      <c r="E28" s="380"/>
      <c r="F28" s="380"/>
      <c r="G28" s="380"/>
      <c r="H28" s="380"/>
      <c r="I28" s="380"/>
      <c r="J28" s="380"/>
      <c r="K28" s="380"/>
      <c r="L28" s="380"/>
      <c r="M28" s="380"/>
      <c r="N28" s="380"/>
      <c r="O28" s="380"/>
      <c r="P28" s="380"/>
      <c r="Q28" s="380"/>
      <c r="R28" s="380"/>
      <c r="S28" s="380"/>
    </row>
    <row r="29" spans="5:19" x14ac:dyDescent="0.25">
      <c r="E29" s="380"/>
      <c r="F29" s="380"/>
      <c r="G29" s="380"/>
      <c r="H29" s="380"/>
      <c r="I29" s="380"/>
      <c r="J29" s="380"/>
      <c r="K29" s="380"/>
      <c r="L29" s="380"/>
      <c r="M29" s="380"/>
      <c r="N29" s="380"/>
      <c r="O29" s="380"/>
      <c r="P29" s="380"/>
      <c r="Q29" s="380"/>
      <c r="R29" s="380"/>
      <c r="S29" s="380"/>
    </row>
    <row r="30" spans="5:19" x14ac:dyDescent="0.25">
      <c r="E30" s="380"/>
      <c r="F30" s="380"/>
      <c r="G30" s="380"/>
      <c r="H30" s="380"/>
      <c r="I30" s="380"/>
      <c r="J30" s="380"/>
      <c r="K30" s="380"/>
      <c r="L30" s="380"/>
      <c r="M30" s="380"/>
      <c r="N30" s="380"/>
      <c r="O30" s="380"/>
      <c r="P30" s="380"/>
      <c r="Q30" s="380"/>
      <c r="R30" s="380"/>
      <c r="S30" s="380"/>
    </row>
    <row r="31" spans="5:19" x14ac:dyDescent="0.25">
      <c r="E31" s="380"/>
      <c r="F31" s="380"/>
      <c r="G31" s="380"/>
      <c r="H31" s="380"/>
      <c r="I31" s="380"/>
      <c r="J31" s="380"/>
      <c r="K31" s="380"/>
      <c r="L31" s="380"/>
      <c r="M31" s="380"/>
      <c r="N31" s="380"/>
      <c r="O31" s="380"/>
      <c r="P31" s="380"/>
      <c r="Q31" s="380"/>
      <c r="R31" s="380"/>
      <c r="S31" s="380"/>
    </row>
    <row r="32" spans="5:19" x14ac:dyDescent="0.25">
      <c r="E32" s="380"/>
      <c r="F32" s="380"/>
      <c r="G32" s="380"/>
      <c r="H32" s="380"/>
      <c r="I32" s="380"/>
      <c r="J32" s="380"/>
      <c r="K32" s="380"/>
      <c r="L32" s="380"/>
      <c r="M32" s="380"/>
      <c r="N32" s="380"/>
      <c r="O32" s="380"/>
      <c r="P32" s="380"/>
      <c r="Q32" s="380"/>
      <c r="R32" s="380"/>
      <c r="S32" s="380"/>
    </row>
    <row r="33" spans="5:19" x14ac:dyDescent="0.25">
      <c r="E33" s="380"/>
      <c r="F33" s="380"/>
      <c r="G33" s="380"/>
      <c r="H33" s="380"/>
      <c r="I33" s="380"/>
      <c r="J33" s="380"/>
      <c r="K33" s="380"/>
      <c r="L33" s="380"/>
      <c r="M33" s="380"/>
      <c r="N33" s="380"/>
      <c r="O33" s="380"/>
      <c r="P33" s="380"/>
      <c r="Q33" s="380"/>
      <c r="R33" s="380"/>
      <c r="S33" s="380"/>
    </row>
    <row r="34" spans="5:19" x14ac:dyDescent="0.25">
      <c r="E34" s="380"/>
      <c r="F34" s="380"/>
      <c r="G34" s="380"/>
      <c r="H34" s="380"/>
      <c r="I34" s="380"/>
      <c r="J34" s="380"/>
      <c r="K34" s="380"/>
      <c r="L34" s="380"/>
      <c r="M34" s="380"/>
      <c r="N34" s="380"/>
      <c r="O34" s="380"/>
      <c r="P34" s="380"/>
      <c r="Q34" s="380"/>
      <c r="R34" s="380"/>
      <c r="S34" s="380"/>
    </row>
    <row r="35" spans="5:19" x14ac:dyDescent="0.25">
      <c r="E35" s="380"/>
      <c r="F35" s="380"/>
      <c r="G35" s="380"/>
      <c r="H35" s="380"/>
      <c r="I35" s="380"/>
      <c r="J35" s="380"/>
      <c r="K35" s="380"/>
      <c r="L35" s="380"/>
      <c r="M35" s="380"/>
      <c r="N35" s="380"/>
      <c r="O35" s="380"/>
      <c r="P35" s="380"/>
      <c r="Q35" s="380"/>
      <c r="R35" s="380"/>
      <c r="S35" s="380"/>
    </row>
    <row r="36" spans="5:19" x14ac:dyDescent="0.25">
      <c r="E36" s="380"/>
      <c r="F36" s="380"/>
      <c r="G36" s="380"/>
      <c r="H36" s="380"/>
      <c r="I36" s="380"/>
      <c r="J36" s="380"/>
      <c r="K36" s="380"/>
      <c r="L36" s="380"/>
      <c r="M36" s="380"/>
      <c r="N36" s="380"/>
      <c r="O36" s="380"/>
      <c r="P36" s="380"/>
      <c r="Q36" s="380"/>
      <c r="R36" s="380"/>
      <c r="S36" s="380"/>
    </row>
    <row r="37" spans="5:19" x14ac:dyDescent="0.25">
      <c r="E37" s="380"/>
      <c r="F37" s="380"/>
      <c r="G37" s="380"/>
      <c r="H37" s="380"/>
      <c r="I37" s="380"/>
      <c r="J37" s="380"/>
      <c r="K37" s="380"/>
      <c r="L37" s="380"/>
      <c r="M37" s="380"/>
      <c r="N37" s="380"/>
      <c r="O37" s="380"/>
      <c r="P37" s="380"/>
      <c r="Q37" s="380"/>
      <c r="R37" s="380"/>
      <c r="S37" s="380"/>
    </row>
    <row r="38" spans="5:19" x14ac:dyDescent="0.25">
      <c r="E38" s="380"/>
      <c r="F38" s="380"/>
      <c r="G38" s="380"/>
      <c r="H38" s="380"/>
      <c r="I38" s="380"/>
      <c r="J38" s="380"/>
      <c r="K38" s="380"/>
      <c r="L38" s="380"/>
      <c r="M38" s="380"/>
      <c r="N38" s="380"/>
      <c r="O38" s="380"/>
      <c r="P38" s="380"/>
      <c r="Q38" s="380"/>
      <c r="R38" s="380"/>
      <c r="S38" s="380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 zoomScale="100" zoomScaleNormal="100">
      <selection activeCell="C20" sqref="C20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SUM(B$2:B$1048576)</f>
        <v>6701.75</v>
      </c>
    </row>
    <row r="2" ht="16" customHeight="1" spans="1:5" x14ac:dyDescent="0.25">
      <c r="A2" s="376" t="s">
        <v>341</v>
      </c>
      <c r="B2" s="379">
        <v>5850</v>
      </c>
      <c r="C2" s="376"/>
      <c r="D2" s="36" t="s">
        <v>898</v>
      </c>
      <c r="E2" s="378"/>
    </row>
    <row r="3" ht="16" customHeight="1" spans="1:5" x14ac:dyDescent="0.25">
      <c r="A3" s="36" t="s">
        <v>899</v>
      </c>
      <c r="B3" s="380">
        <v>406.8</v>
      </c>
      <c r="D3" s="36" t="s">
        <v>900</v>
      </c>
      <c r="E3" s="378">
        <f>E2-E1</f>
        <v>-6701.75</v>
      </c>
    </row>
    <row r="4" spans="1:2" x14ac:dyDescent="0.25">
      <c r="A4" s="381" t="s">
        <v>864</v>
      </c>
      <c r="B4" s="380">
        <v>15</v>
      </c>
    </row>
    <row r="5" spans="1:2" x14ac:dyDescent="0.25">
      <c r="A5" s="381" t="s">
        <v>887</v>
      </c>
      <c r="B5" s="380">
        <v>400</v>
      </c>
    </row>
    <row r="6" spans="1:2" x14ac:dyDescent="0.25">
      <c r="A6" s="381" t="s">
        <v>901</v>
      </c>
      <c r="B6" s="380">
        <v>21.95</v>
      </c>
    </row>
    <row r="7" spans="1:2" x14ac:dyDescent="0.25">
      <c r="A7" s="381" t="s">
        <v>909</v>
      </c>
      <c r="B7" s="380">
        <v>8</v>
      </c>
    </row>
    <row r="8" spans="1:2" x14ac:dyDescent="0.25">
      <c r="A8" s="381"/>
      <c r="B8" s="380"/>
    </row>
    <row r="9" spans="1:2" x14ac:dyDescent="0.25">
      <c r="A9" s="381"/>
      <c r="B9" s="380"/>
    </row>
    <row r="10" spans="1:3" x14ac:dyDescent="0.25">
      <c r="A10" s="381"/>
      <c r="B10" s="380"/>
      <c r="C10" s="123"/>
    </row>
    <row r="11" spans="1:3" x14ac:dyDescent="0.25">
      <c r="A11" s="381"/>
      <c r="B11" s="380"/>
      <c r="C11" s="123"/>
    </row>
    <row r="12" spans="1:3" x14ac:dyDescent="0.25">
      <c r="A12" s="381"/>
      <c r="B12" s="380"/>
      <c r="C12" s="123"/>
    </row>
    <row r="13" spans="1:3" x14ac:dyDescent="0.25">
      <c r="A13" s="381"/>
      <c r="B13" s="380"/>
      <c r="C13" s="123"/>
    </row>
    <row r="14" spans="1:3" x14ac:dyDescent="0.25">
      <c r="A14" s="381"/>
      <c r="B14" s="380"/>
      <c r="C14" s="123"/>
    </row>
    <row r="15" spans="2:3" x14ac:dyDescent="0.25">
      <c r="B15" s="123"/>
      <c r="C15" s="123"/>
    </row>
    <row r="16" spans="2:3" x14ac:dyDescent="0.25">
      <c r="B16" s="123"/>
      <c r="C16" s="123"/>
    </row>
    <row r="17" spans="2:2" x14ac:dyDescent="0.25">
      <c r="B17" s="12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zoomScale="100" zoomScaleNormal="100">
      <selection activeCell="B8" sqref="B8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SUM(B$2:B$1048576)</f>
        <v>8558.779999999999</v>
      </c>
    </row>
    <row r="2" ht="16" customHeight="1" spans="1:5" x14ac:dyDescent="0.25">
      <c r="A2" s="376" t="s">
        <v>341</v>
      </c>
      <c r="B2" s="379">
        <v>8000</v>
      </c>
      <c r="C2" s="376"/>
      <c r="D2" s="36" t="s">
        <v>898</v>
      </c>
      <c r="E2" s="378">
        <v>12075</v>
      </c>
    </row>
    <row r="3" ht="16" customHeight="1" spans="1:6" x14ac:dyDescent="0.25">
      <c r="A3" s="36" t="s">
        <v>899</v>
      </c>
      <c r="B3" s="380">
        <v>442.8</v>
      </c>
      <c r="D3" s="36" t="s">
        <v>900</v>
      </c>
      <c r="E3" s="378">
        <f>E2-E1</f>
        <v>3516.220000000001</v>
      </c>
      <c r="F3" s="382"/>
    </row>
    <row r="4" spans="1:2" x14ac:dyDescent="0.25">
      <c r="A4" s="381" t="s">
        <v>765</v>
      </c>
      <c r="B4" s="380">
        <v>8</v>
      </c>
    </row>
    <row r="5" spans="1:2" x14ac:dyDescent="0.25">
      <c r="A5" s="381" t="s">
        <v>864</v>
      </c>
      <c r="B5" s="380">
        <v>9.68</v>
      </c>
    </row>
    <row r="6" spans="1:2" x14ac:dyDescent="0.25">
      <c r="A6" s="381" t="s">
        <v>870</v>
      </c>
      <c r="B6" s="380">
        <v>40</v>
      </c>
    </row>
    <row r="7" spans="1:2" x14ac:dyDescent="0.25">
      <c r="A7" s="381" t="s">
        <v>917</v>
      </c>
      <c r="B7" s="380">
        <v>58.3</v>
      </c>
    </row>
    <row r="8" spans="1:2" x14ac:dyDescent="0.25">
      <c r="A8" s="381"/>
      <c r="B8" s="380"/>
    </row>
    <row r="9" spans="1:2" x14ac:dyDescent="0.25">
      <c r="A9" s="381"/>
      <c r="B9" s="380"/>
    </row>
    <row r="10" spans="1:3" x14ac:dyDescent="0.25">
      <c r="A10" s="381"/>
      <c r="B10" s="380"/>
      <c r="C10" s="123"/>
    </row>
    <row r="11" spans="1:3" x14ac:dyDescent="0.25">
      <c r="A11" s="381"/>
      <c r="B11" s="380"/>
      <c r="C11" s="123"/>
    </row>
    <row r="12" spans="1:3" x14ac:dyDescent="0.25">
      <c r="A12" s="381"/>
      <c r="B12" s="380"/>
      <c r="C12" s="123"/>
    </row>
    <row r="13" spans="1:3" x14ac:dyDescent="0.25">
      <c r="A13" s="381"/>
      <c r="B13" s="380"/>
      <c r="C13" s="123"/>
    </row>
    <row r="14" spans="1:3" x14ac:dyDescent="0.25">
      <c r="A14" s="381"/>
      <c r="B14" s="380"/>
      <c r="C14" s="123"/>
    </row>
    <row r="15" spans="2:3" x14ac:dyDescent="0.25">
      <c r="B15" s="123"/>
      <c r="C15" s="123"/>
    </row>
    <row r="16" spans="2:3" x14ac:dyDescent="0.25">
      <c r="B16" s="123"/>
      <c r="C16" s="123"/>
    </row>
    <row r="17" spans="2:2" x14ac:dyDescent="0.25">
      <c r="B17" s="12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 zoomScale="100" zoomScaleNormal="100">
      <selection activeCell="B8" sqref="B8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SUM(B$2:B$1048576)</f>
        <v>8246.7</v>
      </c>
    </row>
    <row r="2" ht="16" customHeight="1" spans="1:5" x14ac:dyDescent="0.25">
      <c r="A2" s="376" t="s">
        <v>341</v>
      </c>
      <c r="B2" s="379">
        <v>7725</v>
      </c>
      <c r="C2" s="376"/>
      <c r="D2" s="36" t="s">
        <v>898</v>
      </c>
      <c r="E2" s="378">
        <f>E1</f>
        <v>8246.7</v>
      </c>
    </row>
    <row r="3" ht="16" customHeight="1" spans="1:7" x14ac:dyDescent="0.25">
      <c r="A3" s="36" t="s">
        <v>899</v>
      </c>
      <c r="B3" s="380">
        <v>406.8</v>
      </c>
      <c r="D3" s="36" t="s">
        <v>900</v>
      </c>
      <c r="E3" s="378">
        <f>E2-E1</f>
        <v>0</v>
      </c>
      <c r="G3" s="378"/>
    </row>
    <row r="4" spans="1:2" x14ac:dyDescent="0.25">
      <c r="A4" s="381" t="s">
        <v>918</v>
      </c>
      <c r="B4" s="380">
        <v>6.17</v>
      </c>
    </row>
    <row r="5" spans="1:2" x14ac:dyDescent="0.25">
      <c r="A5" s="381" t="s">
        <v>765</v>
      </c>
      <c r="B5" s="380">
        <v>16</v>
      </c>
    </row>
    <row r="6" spans="1:2" x14ac:dyDescent="0.25">
      <c r="A6" s="381" t="s">
        <v>42</v>
      </c>
      <c r="B6" s="380">
        <v>77.72</v>
      </c>
    </row>
    <row r="7" spans="1:2" x14ac:dyDescent="0.25">
      <c r="A7" s="381" t="s">
        <v>864</v>
      </c>
      <c r="B7" s="380">
        <v>15.01</v>
      </c>
    </row>
    <row r="8" spans="1:2" x14ac:dyDescent="0.25">
      <c r="A8" s="381"/>
      <c r="B8" s="380"/>
    </row>
    <row r="9" spans="1:2" x14ac:dyDescent="0.25">
      <c r="A9" s="381"/>
      <c r="B9" s="380"/>
    </row>
    <row r="10" spans="1:3" x14ac:dyDescent="0.25">
      <c r="A10" s="381"/>
      <c r="B10" s="380"/>
      <c r="C10" s="123"/>
    </row>
    <row r="11" spans="1:3" x14ac:dyDescent="0.25">
      <c r="A11" s="381"/>
      <c r="B11" s="380"/>
      <c r="C11" s="123"/>
    </row>
    <row r="12" spans="1:3" x14ac:dyDescent="0.25">
      <c r="A12" s="381"/>
      <c r="B12" s="380"/>
      <c r="C12" s="123"/>
    </row>
    <row r="13" spans="1:3" x14ac:dyDescent="0.25">
      <c r="A13" s="381"/>
      <c r="B13" s="380"/>
      <c r="C13" s="123"/>
    </row>
    <row r="14" spans="1:3" x14ac:dyDescent="0.25">
      <c r="A14" s="381"/>
      <c r="B14" s="380"/>
      <c r="C14" s="123"/>
    </row>
    <row r="15" spans="2:3" x14ac:dyDescent="0.25">
      <c r="B15" s="123"/>
      <c r="C15" s="123"/>
    </row>
    <row r="16" spans="2:3" x14ac:dyDescent="0.25">
      <c r="B16" s="123"/>
      <c r="C16" s="123"/>
    </row>
    <row r="17" spans="2:2" x14ac:dyDescent="0.25">
      <c r="B17" s="12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 zoomScale="100" zoomScaleNormal="100">
      <selection activeCell="D7" sqref="D7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SUM(B$2:B$1048576)</f>
        <v>7944.275000000001</v>
      </c>
    </row>
    <row r="2" ht="16" customHeight="1" spans="1:5" x14ac:dyDescent="0.25">
      <c r="A2" s="376" t="s">
        <v>341</v>
      </c>
      <c r="B2" s="379">
        <v>7300</v>
      </c>
      <c r="C2" s="376"/>
      <c r="D2" s="36" t="s">
        <v>898</v>
      </c>
      <c r="E2" s="378">
        <v>10250</v>
      </c>
    </row>
    <row r="3" ht="16" customHeight="1" spans="1:5" x14ac:dyDescent="0.25">
      <c r="A3" s="36" t="s">
        <v>899</v>
      </c>
      <c r="B3" s="380">
        <v>406.8</v>
      </c>
      <c r="D3" s="36" t="s">
        <v>900</v>
      </c>
      <c r="E3" s="378">
        <f>E2-E1</f>
        <v>2305.7249999999995</v>
      </c>
    </row>
    <row r="4" spans="1:2" x14ac:dyDescent="0.25">
      <c r="A4" s="381" t="s">
        <v>864</v>
      </c>
      <c r="B4" s="380">
        <f>65.01/2</f>
        <v>32.505</v>
      </c>
    </row>
    <row r="5" spans="1:2" x14ac:dyDescent="0.25">
      <c r="A5" s="381" t="s">
        <v>864</v>
      </c>
      <c r="B5" s="380">
        <v>9.8</v>
      </c>
    </row>
    <row r="6" spans="1:4" x14ac:dyDescent="0.25">
      <c r="A6" s="381" t="s">
        <v>911</v>
      </c>
      <c r="B6" s="380">
        <v>80</v>
      </c>
      <c r="D6" s="267">
        <f>B4+B5+B10</f>
        <v>51.175000000000004</v>
      </c>
    </row>
    <row r="7" spans="1:2" x14ac:dyDescent="0.25">
      <c r="A7" s="381" t="s">
        <v>765</v>
      </c>
      <c r="B7" s="380">
        <v>8</v>
      </c>
    </row>
    <row r="8" spans="1:2" x14ac:dyDescent="0.25">
      <c r="A8" s="381" t="s">
        <v>870</v>
      </c>
      <c r="B8" s="380">
        <v>40</v>
      </c>
    </row>
    <row r="9" spans="1:2" x14ac:dyDescent="0.25">
      <c r="A9" s="381" t="s">
        <v>42</v>
      </c>
      <c r="B9" s="380">
        <v>58.3</v>
      </c>
    </row>
    <row r="10" spans="1:3" x14ac:dyDescent="0.25">
      <c r="A10" s="381" t="s">
        <v>864</v>
      </c>
      <c r="B10" s="380">
        <v>8.87</v>
      </c>
      <c r="C10" s="123"/>
    </row>
    <row r="11" spans="1:3" x14ac:dyDescent="0.25">
      <c r="A11" s="381"/>
      <c r="B11" s="380"/>
      <c r="C11" s="123"/>
    </row>
    <row r="12" spans="1:3" x14ac:dyDescent="0.25">
      <c r="A12" s="381"/>
      <c r="B12" s="380"/>
      <c r="C12" s="123"/>
    </row>
    <row r="13" spans="1:3" x14ac:dyDescent="0.25">
      <c r="A13" s="381"/>
      <c r="B13" s="380"/>
      <c r="C13" s="123"/>
    </row>
    <row r="14" spans="1:3" x14ac:dyDescent="0.25">
      <c r="A14" s="381"/>
      <c r="B14" s="380"/>
      <c r="C14" s="123"/>
    </row>
    <row r="15" spans="2:3" x14ac:dyDescent="0.25">
      <c r="B15" s="123"/>
      <c r="C15" s="123"/>
    </row>
    <row r="16" spans="2:3" x14ac:dyDescent="0.25">
      <c r="B16" s="123"/>
      <c r="C16" s="123"/>
    </row>
    <row r="17" spans="2:2" x14ac:dyDescent="0.25">
      <c r="B17" s="123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 zoomScale="100" zoomScaleNormal="100">
      <selection activeCell="A9" sqref="A9"/>
    </sheetView>
  </sheetViews>
  <sheetFormatPr defaultRowHeight="15" outlineLevelRow="0" outlineLevelCol="0" x14ac:dyDescent="0" defaultColWidth="8.83203125"/>
  <cols>
    <col min="2" max="2" width="10.33203125" customWidth="1"/>
    <col min="4" max="4" width="11.33203125" customWidth="1"/>
    <col min="5" max="5" width="10.33203125" customWidth="1"/>
  </cols>
  <sheetData>
    <row r="1" ht="16" customHeight="1" spans="1:5" x14ac:dyDescent="0.25">
      <c r="A1" s="383" t="s">
        <v>897</v>
      </c>
      <c r="B1" s="384" t="s">
        <v>548</v>
      </c>
      <c r="C1" s="383"/>
      <c r="D1" s="36" t="s">
        <v>28</v>
      </c>
      <c r="E1" s="378">
        <f>SUM(B$2:B$1048576)</f>
        <v>5095.16</v>
      </c>
    </row>
    <row r="2" ht="16" customHeight="1" spans="1:5" x14ac:dyDescent="0.25">
      <c r="A2" s="383" t="s">
        <v>919</v>
      </c>
      <c r="B2" s="385">
        <v>4800</v>
      </c>
      <c r="C2" s="383"/>
      <c r="D2" s="36" t="s">
        <v>898</v>
      </c>
      <c r="E2" s="378"/>
    </row>
    <row r="3" ht="16" customHeight="1" spans="1:5" x14ac:dyDescent="0.25">
      <c r="A3" s="35" t="s">
        <v>870</v>
      </c>
      <c r="B3" s="386">
        <v>40</v>
      </c>
      <c r="C3" s="385"/>
      <c r="D3" s="36" t="s">
        <v>900</v>
      </c>
      <c r="E3" s="378">
        <f>E2-E1</f>
        <v>-5095.16</v>
      </c>
    </row>
    <row r="4" spans="1:2" x14ac:dyDescent="0.25">
      <c r="A4" s="35" t="s">
        <v>864</v>
      </c>
      <c r="B4" s="387">
        <v>20.01</v>
      </c>
    </row>
    <row r="5" spans="1:2" x14ac:dyDescent="0.25">
      <c r="A5" s="35" t="s">
        <v>765</v>
      </c>
      <c r="B5" s="387">
        <v>16</v>
      </c>
    </row>
    <row r="6" spans="1:2" x14ac:dyDescent="0.25">
      <c r="A6" s="35" t="s">
        <v>887</v>
      </c>
      <c r="B6" s="387">
        <v>150</v>
      </c>
    </row>
    <row r="7" spans="1:2" x14ac:dyDescent="0.25">
      <c r="A7" s="35" t="s">
        <v>867</v>
      </c>
      <c r="B7" s="387">
        <v>60</v>
      </c>
    </row>
    <row r="8" spans="1:2" x14ac:dyDescent="0.25">
      <c r="A8" s="35" t="s">
        <v>907</v>
      </c>
      <c r="B8" s="387">
        <v>9.15</v>
      </c>
    </row>
    <row r="9" spans="2:2" x14ac:dyDescent="0.25">
      <c r="B9" s="387"/>
    </row>
    <row r="10" spans="2:2" x14ac:dyDescent="0.25">
      <c r="B10" s="387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 zoomScale="100" zoomScaleNormal="100">
      <selection activeCell="A6" sqref="A6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SUM(B$2:B$1048576)</f>
        <v>6002.8</v>
      </c>
    </row>
    <row r="2" ht="16" customHeight="1" spans="1:5" x14ac:dyDescent="0.25">
      <c r="A2" s="376" t="s">
        <v>919</v>
      </c>
      <c r="B2" s="379">
        <v>5300</v>
      </c>
      <c r="C2" s="376"/>
      <c r="D2" s="36" t="s">
        <v>898</v>
      </c>
      <c r="E2" s="378"/>
    </row>
    <row r="3" ht="16" customHeight="1" spans="1:5" x14ac:dyDescent="0.25">
      <c r="A3" s="381" t="s">
        <v>899</v>
      </c>
      <c r="B3" s="123">
        <v>382.8</v>
      </c>
      <c r="C3" s="379"/>
      <c r="D3" s="36" t="s">
        <v>900</v>
      </c>
      <c r="E3" s="378">
        <f>E2-E1</f>
        <v>-6002.8</v>
      </c>
    </row>
    <row r="4" spans="1:3" x14ac:dyDescent="0.25">
      <c r="A4" s="376" t="s">
        <v>920</v>
      </c>
      <c r="B4" s="123">
        <f>100+120+80</f>
        <v>300</v>
      </c>
      <c r="C4" s="123"/>
    </row>
    <row r="5" spans="1:3" x14ac:dyDescent="0.25">
      <c r="A5" s="376" t="s">
        <v>921</v>
      </c>
      <c r="B5" s="123">
        <v>20</v>
      </c>
      <c r="C5" s="123"/>
    </row>
    <row r="6" spans="2:3" x14ac:dyDescent="0.25">
      <c r="B6" s="123"/>
      <c r="C6" s="123"/>
    </row>
    <row r="7" spans="2:3" x14ac:dyDescent="0.25">
      <c r="B7" s="123"/>
      <c r="C7" s="123"/>
    </row>
    <row r="8" spans="2:3" x14ac:dyDescent="0.25">
      <c r="B8" s="123"/>
      <c r="C8" s="123"/>
    </row>
    <row r="9" spans="2:3" x14ac:dyDescent="0.25">
      <c r="B9" s="123"/>
      <c r="C9" s="123"/>
    </row>
    <row r="10" spans="2:3" x14ac:dyDescent="0.25">
      <c r="B10" s="123"/>
      <c r="C10" s="123"/>
    </row>
    <row r="11" spans="2:3" x14ac:dyDescent="0.25">
      <c r="B11" s="123"/>
      <c r="C11" s="123"/>
    </row>
    <row r="12" spans="2:3" x14ac:dyDescent="0.25">
      <c r="B12" s="123"/>
      <c r="C12" s="123"/>
    </row>
    <row r="13" spans="2:3" x14ac:dyDescent="0.25">
      <c r="B13" s="123"/>
      <c r="C13" s="123"/>
    </row>
    <row r="14" spans="2:3" x14ac:dyDescent="0.25">
      <c r="B14" s="123"/>
      <c r="C14" s="123"/>
    </row>
    <row r="15" spans="2:3" x14ac:dyDescent="0.25">
      <c r="B15" s="123"/>
      <c r="C15" s="123"/>
    </row>
    <row r="16" spans="2:3" x14ac:dyDescent="0.25">
      <c r="B16" s="123"/>
      <c r="C16" s="123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 zoomScale="100" zoomScaleNormal="100">
      <selection activeCell="F2" sqref="F2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SUM(B$2:B$1048576)</f>
        <v>7952.26</v>
      </c>
    </row>
    <row r="2" ht="16" customHeight="1" spans="1:5" x14ac:dyDescent="0.25">
      <c r="A2" s="376" t="s">
        <v>341</v>
      </c>
      <c r="B2" s="379">
        <v>7100</v>
      </c>
      <c r="C2" s="376"/>
      <c r="D2" s="36" t="s">
        <v>898</v>
      </c>
      <c r="E2" s="378"/>
    </row>
    <row r="3" ht="16" customHeight="1" spans="1:5" x14ac:dyDescent="0.25">
      <c r="A3" s="381" t="s">
        <v>899</v>
      </c>
      <c r="B3" s="123">
        <v>406.8</v>
      </c>
      <c r="C3" s="379"/>
      <c r="D3" s="36" t="s">
        <v>900</v>
      </c>
      <c r="E3" s="378">
        <f>E2-E1</f>
        <v>-7952.26</v>
      </c>
    </row>
    <row r="4" spans="1:3" x14ac:dyDescent="0.25">
      <c r="A4" s="376" t="s">
        <v>908</v>
      </c>
      <c r="B4" s="123">
        <v>1.5</v>
      </c>
      <c r="C4" s="123"/>
    </row>
    <row r="5" spans="1:3" x14ac:dyDescent="0.25">
      <c r="A5" s="376" t="s">
        <v>922</v>
      </c>
      <c r="B5" s="123">
        <v>71.5</v>
      </c>
      <c r="C5" s="123"/>
    </row>
    <row r="6" spans="1:3" x14ac:dyDescent="0.25">
      <c r="A6" s="376" t="s">
        <v>923</v>
      </c>
      <c r="B6" s="123">
        <v>9.81</v>
      </c>
      <c r="C6" s="123"/>
    </row>
    <row r="7" spans="1:3" x14ac:dyDescent="0.25">
      <c r="A7" s="376" t="s">
        <v>765</v>
      </c>
      <c r="B7" s="123">
        <v>15</v>
      </c>
      <c r="C7" s="123"/>
    </row>
    <row r="8" spans="1:3" x14ac:dyDescent="0.25">
      <c r="A8" s="381" t="s">
        <v>924</v>
      </c>
      <c r="B8" s="123">
        <v>22.65</v>
      </c>
      <c r="C8" s="123"/>
    </row>
    <row r="9" spans="1:3" x14ac:dyDescent="0.25">
      <c r="A9" s="381" t="s">
        <v>925</v>
      </c>
      <c r="B9" s="123">
        <v>60</v>
      </c>
      <c r="C9" s="123"/>
    </row>
    <row r="10" spans="1:3" x14ac:dyDescent="0.25">
      <c r="A10" s="381" t="s">
        <v>887</v>
      </c>
      <c r="B10" s="123">
        <v>250</v>
      </c>
      <c r="C10" s="123"/>
    </row>
    <row r="11" spans="1:3" x14ac:dyDescent="0.25">
      <c r="A11" s="381" t="s">
        <v>901</v>
      </c>
      <c r="B11" s="123">
        <v>15</v>
      </c>
      <c r="C11" s="123"/>
    </row>
    <row r="12" spans="2:3" x14ac:dyDescent="0.25">
      <c r="B12" s="123"/>
      <c r="C12" s="123"/>
    </row>
    <row r="13" spans="2:3" x14ac:dyDescent="0.25">
      <c r="B13" s="123"/>
      <c r="C13" s="123"/>
    </row>
    <row r="14" spans="2:3" x14ac:dyDescent="0.25">
      <c r="B14" s="123"/>
      <c r="C14" s="123"/>
    </row>
    <row r="15" spans="2:3" x14ac:dyDescent="0.25">
      <c r="B15" s="123"/>
      <c r="C15" s="123"/>
    </row>
    <row r="16" spans="2:3" x14ac:dyDescent="0.25">
      <c r="B16" s="123"/>
      <c r="C16" s="123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 zoomScale="100" zoomScaleNormal="100">
      <selection activeCell="C11" sqref="C11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5336.28</v>
      </c>
    </row>
    <row r="2" ht="16" customHeight="1" spans="1:5" x14ac:dyDescent="0.25">
      <c r="A2" s="376" t="s">
        <v>341</v>
      </c>
      <c r="B2" s="379">
        <v>4500</v>
      </c>
      <c r="C2" s="376"/>
      <c r="D2" s="36" t="s">
        <v>898</v>
      </c>
      <c r="E2" s="378">
        <v>7200</v>
      </c>
    </row>
    <row r="3" ht="16" customHeight="1" spans="1:5" x14ac:dyDescent="0.25">
      <c r="A3" s="376" t="s">
        <v>899</v>
      </c>
      <c r="B3" s="379">
        <v>406.8</v>
      </c>
      <c r="C3" s="376"/>
      <c r="D3" s="36" t="s">
        <v>900</v>
      </c>
      <c r="E3" s="378">
        <f>E2-E1</f>
        <v>1863.7200000000003</v>
      </c>
    </row>
    <row r="4" spans="1:2" x14ac:dyDescent="0.25">
      <c r="A4" s="376" t="s">
        <v>926</v>
      </c>
      <c r="B4" s="123">
        <v>32</v>
      </c>
    </row>
    <row r="5" spans="1:2" x14ac:dyDescent="0.25">
      <c r="A5" s="376" t="s">
        <v>765</v>
      </c>
      <c r="B5" s="123">
        <v>16</v>
      </c>
    </row>
    <row r="6" spans="1:2" x14ac:dyDescent="0.25">
      <c r="A6" s="381" t="s">
        <v>864</v>
      </c>
      <c r="B6" s="123">
        <f>41.56/2</f>
        <v>20.78</v>
      </c>
    </row>
    <row r="7" spans="1:2" x14ac:dyDescent="0.25">
      <c r="A7" s="381" t="s">
        <v>887</v>
      </c>
      <c r="B7" s="123">
        <v>250</v>
      </c>
    </row>
    <row r="8" spans="1:2" x14ac:dyDescent="0.25">
      <c r="A8" s="381" t="s">
        <v>864</v>
      </c>
      <c r="B8" s="123">
        <v>10.13</v>
      </c>
    </row>
    <row r="9" spans="1:2" x14ac:dyDescent="0.25">
      <c r="A9" s="381" t="s">
        <v>927</v>
      </c>
      <c r="B9" s="123">
        <v>12.99</v>
      </c>
    </row>
    <row r="10" spans="1:2" x14ac:dyDescent="0.25">
      <c r="A10" s="381" t="s">
        <v>864</v>
      </c>
      <c r="B10" s="123">
        <v>9.86</v>
      </c>
    </row>
    <row r="11" spans="1:2" x14ac:dyDescent="0.25">
      <c r="A11" s="381" t="s">
        <v>42</v>
      </c>
      <c r="B11" s="123">
        <v>77.72</v>
      </c>
    </row>
    <row r="12" spans="2:2" x14ac:dyDescent="0.25">
      <c r="B12" s="123"/>
    </row>
    <row r="13" spans="2:2" x14ac:dyDescent="0.25">
      <c r="B13" s="123"/>
    </row>
    <row r="14" spans="2:2" x14ac:dyDescent="0.25">
      <c r="B14" s="123"/>
    </row>
    <row r="15" spans="2:2" x14ac:dyDescent="0.25">
      <c r="B15" s="123"/>
    </row>
    <row r="16" spans="2:2" x14ac:dyDescent="0.25">
      <c r="B16" s="123"/>
    </row>
    <row r="17" spans="2:2" x14ac:dyDescent="0.25">
      <c r="B17" s="123"/>
    </row>
    <row r="18" spans="2:2" x14ac:dyDescent="0.25">
      <c r="B18" s="123"/>
    </row>
    <row r="19" spans="2:2" x14ac:dyDescent="0.25">
      <c r="B19" s="123"/>
    </row>
    <row r="20" spans="2:2" x14ac:dyDescent="0.25">
      <c r="B20" s="123"/>
    </row>
    <row r="21" spans="2:2" x14ac:dyDescent="0.25">
      <c r="B21" s="123"/>
    </row>
    <row r="22" spans="2:2" x14ac:dyDescent="0.25">
      <c r="B22" s="123"/>
    </row>
    <row r="23" spans="2:2" x14ac:dyDescent="0.25">
      <c r="B23" s="123"/>
    </row>
    <row r="24" spans="2:2" x14ac:dyDescent="0.25">
      <c r="B24" s="123"/>
    </row>
    <row r="25" spans="2:2" x14ac:dyDescent="0.25">
      <c r="B25" s="123"/>
    </row>
    <row r="26" spans="2:2" x14ac:dyDescent="0.25">
      <c r="B26" s="123"/>
    </row>
    <row r="27" spans="2:2" x14ac:dyDescent="0.25">
      <c r="B27" s="123"/>
    </row>
    <row r="28" spans="2:2" x14ac:dyDescent="0.25">
      <c r="B28" s="123"/>
    </row>
    <row r="29" spans="2:2" x14ac:dyDescent="0.25">
      <c r="B29" s="123"/>
    </row>
    <row r="30" spans="2:2" x14ac:dyDescent="0.25">
      <c r="B30" s="123"/>
    </row>
    <row r="31" spans="2:2" x14ac:dyDescent="0.25">
      <c r="B31" s="123"/>
    </row>
    <row r="32" spans="2:2" x14ac:dyDescent="0.25">
      <c r="B32" s="123"/>
    </row>
    <row r="33" spans="2:2" x14ac:dyDescent="0.25">
      <c r="B33" s="123"/>
    </row>
    <row r="34" spans="2:2" x14ac:dyDescent="0.25">
      <c r="B34" s="123"/>
    </row>
    <row r="35" spans="2:2" x14ac:dyDescent="0.25">
      <c r="B35" s="123"/>
    </row>
    <row r="36" spans="2:2" x14ac:dyDescent="0.25">
      <c r="B36" s="123"/>
    </row>
    <row r="37" spans="2:2" x14ac:dyDescent="0.25">
      <c r="B37" s="123"/>
    </row>
    <row r="38" spans="2:2" x14ac:dyDescent="0.25">
      <c r="B38" s="123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 zoomScale="100" zoomScaleNormal="100">
      <selection activeCell="O21" sqref="O21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SUM(B$2:B$1048576)</f>
        <v>3385.5299999999997</v>
      </c>
    </row>
    <row r="2" ht="16" customHeight="1" spans="1:5" x14ac:dyDescent="0.25">
      <c r="A2" s="376" t="s">
        <v>393</v>
      </c>
      <c r="B2" s="379">
        <v>3093.24</v>
      </c>
      <c r="C2" s="376"/>
      <c r="D2" s="36" t="s">
        <v>898</v>
      </c>
      <c r="E2" s="378">
        <v>7989.29</v>
      </c>
    </row>
    <row r="3" ht="16" customHeight="1" spans="1:5" x14ac:dyDescent="0.25">
      <c r="A3" t="s">
        <v>552</v>
      </c>
      <c r="B3" s="123">
        <v>30</v>
      </c>
      <c r="C3" s="379"/>
      <c r="D3" s="36" t="s">
        <v>900</v>
      </c>
      <c r="E3" s="378">
        <f>E2-E1</f>
        <v>4603.76</v>
      </c>
    </row>
    <row r="4" spans="1:3" x14ac:dyDescent="0.25">
      <c r="A4" s="376" t="s">
        <v>867</v>
      </c>
      <c r="B4" s="123">
        <v>60</v>
      </c>
      <c r="C4" s="123"/>
    </row>
    <row r="5" spans="1:3" x14ac:dyDescent="0.25">
      <c r="A5" s="376" t="s">
        <v>765</v>
      </c>
      <c r="B5" s="123">
        <v>8</v>
      </c>
      <c r="C5" s="123"/>
    </row>
    <row r="6" spans="1:3" x14ac:dyDescent="0.25">
      <c r="A6" s="381" t="s">
        <v>42</v>
      </c>
      <c r="B6" s="123">
        <v>194.29</v>
      </c>
      <c r="C6" s="123"/>
    </row>
    <row r="7" spans="2:3" x14ac:dyDescent="0.25">
      <c r="B7" s="123"/>
      <c r="C7" s="123"/>
    </row>
    <row r="8" spans="2:3" x14ac:dyDescent="0.25">
      <c r="B8" s="123"/>
      <c r="C8" s="123"/>
    </row>
    <row r="9" spans="2:3" x14ac:dyDescent="0.25">
      <c r="B9" s="123"/>
      <c r="C9" s="123"/>
    </row>
    <row r="10" spans="2:3" x14ac:dyDescent="0.25">
      <c r="B10" s="123"/>
      <c r="C10" s="123"/>
    </row>
    <row r="11" spans="2:3" x14ac:dyDescent="0.25">
      <c r="B11" s="123"/>
      <c r="C11" s="123"/>
    </row>
    <row r="12" spans="2:3" x14ac:dyDescent="0.25">
      <c r="B12" s="123"/>
      <c r="C12" s="123"/>
    </row>
    <row r="13" spans="2:3" x14ac:dyDescent="0.25">
      <c r="B13" s="123"/>
      <c r="C13" s="123"/>
    </row>
    <row r="14" spans="2:3" x14ac:dyDescent="0.25">
      <c r="B14" s="123"/>
      <c r="C14" s="123"/>
    </row>
    <row r="15" spans="2:3" x14ac:dyDescent="0.25">
      <c r="B15" s="123"/>
      <c r="C15" s="123"/>
    </row>
    <row r="16" spans="2:3" x14ac:dyDescent="0.25">
      <c r="B16" s="123"/>
      <c r="C16" s="123"/>
    </row>
    <row r="17" spans="2:3" x14ac:dyDescent="0.25">
      <c r="B17" s="123"/>
      <c r="C17" s="123"/>
    </row>
    <row r="18" spans="2:3" x14ac:dyDescent="0.25">
      <c r="B18" s="123"/>
      <c r="C18" s="123"/>
    </row>
    <row r="19" spans="2:3" x14ac:dyDescent="0.25">
      <c r="B19" s="123"/>
      <c r="C19" s="123"/>
    </row>
    <row r="20" spans="2:3" x14ac:dyDescent="0.25">
      <c r="B20" s="123"/>
      <c r="C20" s="123"/>
    </row>
    <row r="21" spans="2:3" x14ac:dyDescent="0.25">
      <c r="B21" s="123"/>
      <c r="C21" s="123"/>
    </row>
    <row r="22" spans="2:3" x14ac:dyDescent="0.25">
      <c r="B22" s="123"/>
      <c r="C22" s="123"/>
    </row>
    <row r="23" spans="2:3" x14ac:dyDescent="0.25">
      <c r="B23" s="123"/>
      <c r="C23" s="123"/>
    </row>
    <row r="24" spans="2:3" x14ac:dyDescent="0.25">
      <c r="B24" s="123"/>
      <c r="C24" s="123"/>
    </row>
    <row r="25" spans="2:2" x14ac:dyDescent="0.25">
      <c r="B25" s="123"/>
    </row>
    <row r="26" spans="2:2" x14ac:dyDescent="0.25">
      <c r="B26" s="123"/>
    </row>
    <row r="27" spans="2:2" x14ac:dyDescent="0.25">
      <c r="B27" s="123"/>
    </row>
    <row r="28" spans="2:2" x14ac:dyDescent="0.25">
      <c r="B28" s="123"/>
    </row>
    <row r="29" spans="2:2" x14ac:dyDescent="0.25">
      <c r="B29" s="123"/>
    </row>
    <row r="30" spans="2:2" x14ac:dyDescent="0.25">
      <c r="B30" s="123"/>
    </row>
    <row r="31" spans="2:2" x14ac:dyDescent="0.25">
      <c r="B31" s="123"/>
    </row>
    <row r="32" spans="2:2" x14ac:dyDescent="0.25">
      <c r="B32" s="123"/>
    </row>
    <row r="33" spans="2:2" x14ac:dyDescent="0.25">
      <c r="B33" s="123"/>
    </row>
    <row r="34" spans="2:2" x14ac:dyDescent="0.25">
      <c r="B34" s="123"/>
    </row>
    <row r="35" spans="2:2" x14ac:dyDescent="0.25">
      <c r="B35" s="123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 zoomScale="100" zoomScaleNormal="100">
      <selection activeCell="F2" sqref="F2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6605.900000000001</v>
      </c>
    </row>
    <row r="2" ht="16" customHeight="1" spans="1:5" x14ac:dyDescent="0.25">
      <c r="A2" s="376" t="s">
        <v>341</v>
      </c>
      <c r="B2" s="379">
        <v>6000</v>
      </c>
      <c r="C2" s="376"/>
      <c r="D2" s="36" t="s">
        <v>898</v>
      </c>
      <c r="E2" s="378"/>
    </row>
    <row r="3" ht="16" customHeight="1" spans="1:5" x14ac:dyDescent="0.25">
      <c r="A3" s="376" t="s">
        <v>899</v>
      </c>
      <c r="B3" s="123">
        <v>346.8</v>
      </c>
      <c r="C3" s="379"/>
      <c r="D3" s="36" t="s">
        <v>900</v>
      </c>
      <c r="E3" s="378">
        <f>E2-E1</f>
        <v>-6605.900000000001</v>
      </c>
    </row>
    <row r="4" spans="1:3" x14ac:dyDescent="0.25">
      <c r="A4" s="376" t="s">
        <v>902</v>
      </c>
      <c r="B4" s="123">
        <v>11.4</v>
      </c>
      <c r="C4" s="123"/>
    </row>
    <row r="5" spans="1:3" x14ac:dyDescent="0.25">
      <c r="A5" s="376" t="s">
        <v>864</v>
      </c>
      <c r="B5" s="123">
        <v>91.18</v>
      </c>
      <c r="C5" s="123"/>
    </row>
    <row r="6" spans="1:3" x14ac:dyDescent="0.25">
      <c r="A6" s="381" t="s">
        <v>880</v>
      </c>
      <c r="B6" s="123">
        <v>90</v>
      </c>
      <c r="C6" s="123"/>
    </row>
    <row r="7" spans="1:3" x14ac:dyDescent="0.25">
      <c r="A7" s="381" t="s">
        <v>765</v>
      </c>
      <c r="B7" s="123">
        <v>16</v>
      </c>
      <c r="C7" s="123"/>
    </row>
    <row r="8" spans="1:3" x14ac:dyDescent="0.25">
      <c r="A8" s="381" t="s">
        <v>928</v>
      </c>
      <c r="B8" s="123">
        <v>2.38</v>
      </c>
      <c r="C8" s="123"/>
    </row>
    <row r="9" spans="1:3" x14ac:dyDescent="0.25">
      <c r="A9" s="381" t="s">
        <v>929</v>
      </c>
      <c r="B9" s="123">
        <v>40</v>
      </c>
      <c r="C9" s="123"/>
    </row>
    <row r="10" spans="1:3" x14ac:dyDescent="0.25">
      <c r="A10" s="381" t="s">
        <v>864</v>
      </c>
      <c r="B10" s="123">
        <v>8.14</v>
      </c>
      <c r="C10" s="123"/>
    </row>
    <row r="11" spans="2:3" x14ac:dyDescent="0.25">
      <c r="B11" s="123"/>
      <c r="C11" s="123"/>
    </row>
    <row r="12" spans="2:3" x14ac:dyDescent="0.25">
      <c r="B12" s="123"/>
      <c r="C12" s="123"/>
    </row>
    <row r="13" spans="2:3" x14ac:dyDescent="0.25">
      <c r="B13" s="123"/>
      <c r="C13" s="123"/>
    </row>
    <row r="14" spans="2:3" x14ac:dyDescent="0.25">
      <c r="B14" s="123"/>
      <c r="C14" s="123"/>
    </row>
    <row r="15" spans="2:3" x14ac:dyDescent="0.25">
      <c r="B15" s="123"/>
      <c r="C15" s="123"/>
    </row>
    <row r="16" spans="2:3" x14ac:dyDescent="0.25">
      <c r="B16" s="123"/>
      <c r="C16" s="123"/>
    </row>
    <row r="17" spans="2:3" x14ac:dyDescent="0.25">
      <c r="B17" s="123"/>
      <c r="C17" s="123"/>
    </row>
    <row r="18" spans="2:3" x14ac:dyDescent="0.25">
      <c r="B18" s="123"/>
      <c r="C18" s="123"/>
    </row>
    <row r="19" spans="2:3" x14ac:dyDescent="0.25">
      <c r="B19" s="123"/>
      <c r="C19" s="123"/>
    </row>
    <row r="20" spans="2:3" x14ac:dyDescent="0.25">
      <c r="B20" s="123"/>
      <c r="C20" s="123"/>
    </row>
    <row r="21" spans="2:3" x14ac:dyDescent="0.25">
      <c r="B21" s="123"/>
      <c r="C21" s="123"/>
    </row>
    <row r="22" spans="2:3" x14ac:dyDescent="0.25">
      <c r="B22" s="123"/>
      <c r="C22" s="123"/>
    </row>
    <row r="23" spans="2:3" x14ac:dyDescent="0.25">
      <c r="B23" s="123"/>
      <c r="C23" s="123"/>
    </row>
    <row r="24" spans="2:3" x14ac:dyDescent="0.25">
      <c r="B24" s="123"/>
      <c r="C24" s="123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zoomScale="100" zoomScaleNormal="100">
      <selection activeCell="F2" sqref="F2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7089.8</v>
      </c>
    </row>
    <row r="2" ht="16" customHeight="1" spans="1:5" x14ac:dyDescent="0.25">
      <c r="A2" s="376" t="s">
        <v>341</v>
      </c>
      <c r="B2" s="379">
        <v>6425</v>
      </c>
      <c r="C2" s="376"/>
      <c r="D2" s="36" t="s">
        <v>898</v>
      </c>
      <c r="E2" s="378"/>
    </row>
    <row r="3" ht="16" customHeight="1" spans="1:5" x14ac:dyDescent="0.25">
      <c r="A3" s="376" t="s">
        <v>899</v>
      </c>
      <c r="B3" s="123">
        <v>406.8</v>
      </c>
      <c r="C3" s="379"/>
      <c r="D3" s="36" t="s">
        <v>900</v>
      </c>
      <c r="E3" s="378">
        <f>E2-E1</f>
        <v>-7089.8</v>
      </c>
    </row>
    <row r="4" spans="1:3" x14ac:dyDescent="0.25">
      <c r="A4" s="376" t="s">
        <v>864</v>
      </c>
      <c r="B4" s="123">
        <v>50</v>
      </c>
      <c r="C4" s="123"/>
    </row>
    <row r="5" spans="1:3" x14ac:dyDescent="0.25">
      <c r="A5" s="376" t="s">
        <v>930</v>
      </c>
      <c r="B5" s="123">
        <v>200</v>
      </c>
      <c r="C5" s="123"/>
    </row>
    <row r="6" spans="1:3" x14ac:dyDescent="0.25">
      <c r="A6" s="376" t="s">
        <v>765</v>
      </c>
      <c r="B6" s="123">
        <v>8</v>
      </c>
      <c r="C6" s="123"/>
    </row>
    <row r="7" spans="2:3" x14ac:dyDescent="0.25">
      <c r="B7" s="123"/>
      <c r="C7" s="123"/>
    </row>
    <row r="8" spans="2:3" x14ac:dyDescent="0.25">
      <c r="B8" s="123"/>
      <c r="C8" s="123"/>
    </row>
    <row r="9" spans="2:3" x14ac:dyDescent="0.25">
      <c r="B9" s="123"/>
      <c r="C9" s="123"/>
    </row>
    <row r="10" spans="2:3" x14ac:dyDescent="0.25">
      <c r="B10" s="123"/>
      <c r="C10" s="123"/>
    </row>
    <row r="11" spans="2:3" x14ac:dyDescent="0.25">
      <c r="B11" s="123"/>
      <c r="C11" s="123"/>
    </row>
    <row r="12" spans="2:3" x14ac:dyDescent="0.25">
      <c r="B12" s="123"/>
      <c r="C12" s="123"/>
    </row>
    <row r="13" spans="2:3" x14ac:dyDescent="0.25">
      <c r="B13" s="123"/>
      <c r="C13" s="123"/>
    </row>
    <row r="14" spans="2:3" x14ac:dyDescent="0.25">
      <c r="B14" s="123"/>
      <c r="C14" s="123"/>
    </row>
    <row r="15" spans="2:3" x14ac:dyDescent="0.25">
      <c r="B15" s="123"/>
      <c r="C15" s="123"/>
    </row>
    <row r="16" spans="2:3" x14ac:dyDescent="0.25">
      <c r="B16" s="123"/>
      <c r="C16" s="123"/>
    </row>
    <row r="17" spans="2:3" x14ac:dyDescent="0.25">
      <c r="B17" s="123"/>
      <c r="C17" s="123"/>
    </row>
    <row r="18" spans="2:3" x14ac:dyDescent="0.25">
      <c r="B18" s="123"/>
      <c r="C18" s="123"/>
    </row>
    <row r="19" spans="2:3" x14ac:dyDescent="0.25">
      <c r="B19" s="123"/>
      <c r="C19" s="123"/>
    </row>
    <row r="20" spans="2:3" x14ac:dyDescent="0.25">
      <c r="B20" s="123"/>
      <c r="C20" s="123"/>
    </row>
    <row r="21" spans="2:3" x14ac:dyDescent="0.25">
      <c r="B21" s="123"/>
      <c r="C21" s="123"/>
    </row>
    <row r="22" spans="2:3" x14ac:dyDescent="0.25">
      <c r="B22" s="123"/>
      <c r="C22" s="123"/>
    </row>
    <row r="23" spans="2:3" x14ac:dyDescent="0.25">
      <c r="B23" s="123"/>
      <c r="C23" s="123"/>
    </row>
    <row r="24" spans="2:3" x14ac:dyDescent="0.25">
      <c r="B24" s="123"/>
      <c r="C24" s="123"/>
    </row>
    <row r="25" spans="2:3" x14ac:dyDescent="0.25">
      <c r="B25" s="123"/>
      <c r="C25" s="123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zoomScale="100" zoomScaleNormal="100">
      <selection activeCell="D16" sqref="D16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4625.130000000001</v>
      </c>
    </row>
    <row r="2" ht="16" customHeight="1" spans="1:5" x14ac:dyDescent="0.25">
      <c r="A2" s="376" t="s">
        <v>341</v>
      </c>
      <c r="B2" s="379">
        <v>4100</v>
      </c>
      <c r="C2" s="376"/>
      <c r="D2" s="36" t="s">
        <v>898</v>
      </c>
      <c r="E2" s="378">
        <v>7250</v>
      </c>
    </row>
    <row r="3" ht="16" customHeight="1" spans="1:5" x14ac:dyDescent="0.25">
      <c r="A3" s="376" t="s">
        <v>899</v>
      </c>
      <c r="B3" s="123">
        <v>322.8</v>
      </c>
      <c r="C3" s="379"/>
      <c r="D3" s="36" t="s">
        <v>900</v>
      </c>
      <c r="E3" s="378">
        <f>E2-E1</f>
        <v>2624.869999999999</v>
      </c>
    </row>
    <row r="4" spans="1:3" x14ac:dyDescent="0.25">
      <c r="A4" s="376" t="s">
        <v>765</v>
      </c>
      <c r="B4" s="123">
        <v>16</v>
      </c>
      <c r="C4" s="123"/>
    </row>
    <row r="5" spans="1:3" x14ac:dyDescent="0.25">
      <c r="A5" s="376" t="s">
        <v>864</v>
      </c>
      <c r="B5" s="123">
        <v>8</v>
      </c>
      <c r="C5" s="123"/>
    </row>
    <row r="6" spans="1:3" x14ac:dyDescent="0.25">
      <c r="A6" s="376" t="s">
        <v>864</v>
      </c>
      <c r="B6" s="123">
        <v>8.1</v>
      </c>
      <c r="C6" s="123"/>
    </row>
    <row r="7" spans="1:3" x14ac:dyDescent="0.25">
      <c r="A7" s="376" t="s">
        <v>870</v>
      </c>
      <c r="B7" s="123">
        <v>40</v>
      </c>
      <c r="C7" s="123"/>
    </row>
    <row r="8" spans="1:3" x14ac:dyDescent="0.25">
      <c r="A8" s="376" t="s">
        <v>677</v>
      </c>
      <c r="B8" s="123">
        <v>30</v>
      </c>
      <c r="C8" s="123"/>
    </row>
    <row r="9" spans="1:3" x14ac:dyDescent="0.25">
      <c r="A9" s="376" t="s">
        <v>931</v>
      </c>
      <c r="B9" s="123">
        <v>12.5</v>
      </c>
      <c r="C9" s="123"/>
    </row>
    <row r="10" spans="1:3" x14ac:dyDescent="0.25">
      <c r="A10" s="376" t="s">
        <v>917</v>
      </c>
      <c r="B10" s="123">
        <v>77.72</v>
      </c>
      <c r="C10" s="123"/>
    </row>
    <row r="11" spans="1:3" x14ac:dyDescent="0.25">
      <c r="A11" s="376" t="s">
        <v>864</v>
      </c>
      <c r="B11" s="123">
        <v>10.01</v>
      </c>
      <c r="C11" s="123"/>
    </row>
    <row r="12" spans="2:3" x14ac:dyDescent="0.25">
      <c r="B12" s="123"/>
      <c r="C12" s="123"/>
    </row>
    <row r="13" spans="2:3" x14ac:dyDescent="0.25">
      <c r="B13" s="123"/>
      <c r="C13" s="123"/>
    </row>
    <row r="14" spans="2:3" x14ac:dyDescent="0.25">
      <c r="B14" s="123"/>
      <c r="C14" s="123"/>
    </row>
    <row r="15" spans="2:3" x14ac:dyDescent="0.25">
      <c r="B15" s="123"/>
      <c r="C15" s="123"/>
    </row>
    <row r="16" spans="2:3" x14ac:dyDescent="0.25">
      <c r="B16" s="123"/>
      <c r="C16" s="123"/>
    </row>
    <row r="17" spans="2:3" x14ac:dyDescent="0.25">
      <c r="B17" s="123"/>
      <c r="C17" s="123"/>
    </row>
    <row r="18" spans="2:3" x14ac:dyDescent="0.25">
      <c r="B18" s="123"/>
      <c r="C18" s="123"/>
    </row>
    <row r="19" spans="2:3" x14ac:dyDescent="0.25">
      <c r="B19" s="123"/>
      <c r="C19" s="123"/>
    </row>
    <row r="20" spans="2:3" x14ac:dyDescent="0.25">
      <c r="B20" s="123"/>
      <c r="C20" s="123"/>
    </row>
    <row r="21" spans="2:3" x14ac:dyDescent="0.25">
      <c r="B21" s="123"/>
      <c r="C21" s="123"/>
    </row>
    <row r="22" spans="2:3" x14ac:dyDescent="0.25">
      <c r="B22" s="123"/>
      <c r="C22" s="123"/>
    </row>
    <row r="23" spans="2:3" x14ac:dyDescent="0.25">
      <c r="B23" s="123"/>
      <c r="C23" s="123"/>
    </row>
    <row r="24" spans="2:3" x14ac:dyDescent="0.25">
      <c r="B24" s="123"/>
      <c r="C24" s="123"/>
    </row>
    <row r="25" spans="2:3" x14ac:dyDescent="0.25">
      <c r="B25" s="123"/>
      <c r="C25" s="123"/>
    </row>
    <row r="26" spans="2:3" x14ac:dyDescent="0.25">
      <c r="B26" s="123"/>
      <c r="C26" s="123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zoomScale="100" zoomScaleNormal="100">
      <selection activeCell="A8" sqref="A8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7491.5</v>
      </c>
    </row>
    <row r="2" ht="16" customHeight="1" spans="1:5" x14ac:dyDescent="0.25">
      <c r="A2" s="376" t="s">
        <v>341</v>
      </c>
      <c r="B2" s="379">
        <v>7000</v>
      </c>
      <c r="C2" s="376"/>
      <c r="D2" s="36" t="s">
        <v>898</v>
      </c>
      <c r="E2" s="378">
        <v>9971</v>
      </c>
    </row>
    <row r="3" ht="16" customHeight="1" spans="1:6" x14ac:dyDescent="0.25">
      <c r="A3" s="376" t="s">
        <v>899</v>
      </c>
      <c r="B3" s="123">
        <v>346.8</v>
      </c>
      <c r="C3" s="376"/>
      <c r="D3" s="36" t="s">
        <v>900</v>
      </c>
      <c r="E3" s="378">
        <f>E2-E1</f>
        <v>2479.5</v>
      </c>
      <c r="F3" s="382"/>
    </row>
    <row r="4" spans="1:3" x14ac:dyDescent="0.25">
      <c r="A4" s="376" t="s">
        <v>909</v>
      </c>
      <c r="B4" s="123">
        <v>16</v>
      </c>
      <c r="C4" s="294"/>
    </row>
    <row r="5" spans="1:3" x14ac:dyDescent="0.25">
      <c r="A5" s="376" t="s">
        <v>870</v>
      </c>
      <c r="B5" s="382">
        <v>40</v>
      </c>
      <c r="C5" s="294"/>
    </row>
    <row r="6" spans="1:3" x14ac:dyDescent="0.25">
      <c r="A6" t="s">
        <v>42</v>
      </c>
      <c r="B6" s="388">
        <v>77.72</v>
      </c>
      <c r="C6" s="294"/>
    </row>
    <row r="7" spans="1:3" x14ac:dyDescent="0.25">
      <c r="A7" s="376" t="s">
        <v>864</v>
      </c>
      <c r="B7" s="388">
        <v>10.98</v>
      </c>
      <c r="C7" s="294"/>
    </row>
    <row r="8" spans="2:3" x14ac:dyDescent="0.25">
      <c r="B8" s="294"/>
      <c r="C8" s="294"/>
    </row>
    <row r="9" spans="2:3" x14ac:dyDescent="0.25">
      <c r="B9" s="294"/>
      <c r="C9" s="294"/>
    </row>
    <row r="10" spans="2:3" x14ac:dyDescent="0.25">
      <c r="B10" s="294"/>
      <c r="C10" s="294"/>
    </row>
    <row r="11" spans="2:3" x14ac:dyDescent="0.25">
      <c r="B11" s="294"/>
      <c r="C11" s="294"/>
    </row>
    <row r="12" spans="2:3" x14ac:dyDescent="0.25">
      <c r="B12" s="294"/>
      <c r="C12" s="294"/>
    </row>
    <row r="13" spans="2:3" x14ac:dyDescent="0.25">
      <c r="B13" s="294"/>
      <c r="C13" s="294"/>
    </row>
    <row r="14" spans="2:3" x14ac:dyDescent="0.25">
      <c r="B14" s="294"/>
      <c r="C14" s="294"/>
    </row>
    <row r="15" spans="2:3" x14ac:dyDescent="0.25">
      <c r="B15" s="294"/>
      <c r="C15" s="294"/>
    </row>
    <row r="16" spans="2:3" x14ac:dyDescent="0.25">
      <c r="B16" s="294"/>
      <c r="C16" s="294"/>
    </row>
    <row r="17" spans="2:3" x14ac:dyDescent="0.25">
      <c r="B17" s="294"/>
      <c r="C17" s="294"/>
    </row>
    <row r="18" spans="2:3" x14ac:dyDescent="0.25">
      <c r="B18" s="294"/>
      <c r="C18" s="294"/>
    </row>
    <row r="19" spans="2:3" x14ac:dyDescent="0.25">
      <c r="B19" s="294"/>
      <c r="C19" s="294"/>
    </row>
    <row r="20" spans="2:3" x14ac:dyDescent="0.25">
      <c r="B20" s="294"/>
      <c r="C20" s="294"/>
    </row>
    <row r="21" spans="2:3" x14ac:dyDescent="0.25">
      <c r="B21" s="294"/>
      <c r="C21" s="294"/>
    </row>
    <row r="22" spans="2:3" x14ac:dyDescent="0.25">
      <c r="B22" s="294"/>
      <c r="C22" s="294"/>
    </row>
    <row r="23" spans="2:3" x14ac:dyDescent="0.25">
      <c r="B23" s="294"/>
      <c r="C23" s="294"/>
    </row>
    <row r="24" spans="2:3" x14ac:dyDescent="0.25">
      <c r="B24" s="294"/>
      <c r="C24" s="294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 zoomScale="100" zoomScaleNormal="100">
      <selection activeCell="A11" sqref="A11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8516.689999999999</v>
      </c>
    </row>
    <row r="2" ht="16" customHeight="1" spans="1:5" x14ac:dyDescent="0.25">
      <c r="A2" s="376" t="s">
        <v>341</v>
      </c>
      <c r="B2" s="379">
        <v>7900</v>
      </c>
      <c r="C2" s="376"/>
      <c r="D2" s="36" t="s">
        <v>898</v>
      </c>
      <c r="E2" s="378"/>
    </row>
    <row r="3" ht="16" customHeight="1" spans="1:5" x14ac:dyDescent="0.25">
      <c r="A3" s="376" t="s">
        <v>932</v>
      </c>
      <c r="B3" s="123">
        <v>18.69</v>
      </c>
      <c r="C3" s="376"/>
      <c r="D3" s="36" t="s">
        <v>900</v>
      </c>
      <c r="E3" s="378">
        <f>E2-E1</f>
        <v>-8516.689999999999</v>
      </c>
    </row>
    <row r="4" spans="1:2" x14ac:dyDescent="0.25">
      <c r="A4" s="376" t="s">
        <v>933</v>
      </c>
      <c r="B4" s="123">
        <v>100</v>
      </c>
    </row>
    <row r="5" spans="1:2" x14ac:dyDescent="0.25">
      <c r="A5" s="381" t="s">
        <v>864</v>
      </c>
      <c r="B5" s="123">
        <v>5</v>
      </c>
    </row>
    <row r="6" spans="1:2" x14ac:dyDescent="0.25">
      <c r="A6" s="376" t="s">
        <v>934</v>
      </c>
      <c r="B6" s="123">
        <v>140</v>
      </c>
    </row>
    <row r="7" spans="1:2" x14ac:dyDescent="0.25">
      <c r="A7" s="376" t="s">
        <v>935</v>
      </c>
      <c r="B7" s="123">
        <v>220</v>
      </c>
    </row>
    <row r="8" spans="1:2" x14ac:dyDescent="0.25">
      <c r="A8" s="376" t="s">
        <v>936</v>
      </c>
      <c r="B8" s="123">
        <v>20</v>
      </c>
    </row>
    <row r="9" spans="1:2" x14ac:dyDescent="0.25">
      <c r="A9" s="376" t="s">
        <v>937</v>
      </c>
      <c r="B9" s="123">
        <v>100</v>
      </c>
    </row>
    <row r="10" spans="1:2" x14ac:dyDescent="0.25">
      <c r="A10" s="376" t="s">
        <v>938</v>
      </c>
      <c r="B10" s="123">
        <v>13</v>
      </c>
    </row>
    <row r="11" spans="2:2" x14ac:dyDescent="0.25">
      <c r="B11" s="123"/>
    </row>
    <row r="12" spans="2:2" x14ac:dyDescent="0.25">
      <c r="B12" s="123"/>
    </row>
    <row r="13" spans="2:2" x14ac:dyDescent="0.25">
      <c r="B13" s="123"/>
    </row>
    <row r="14" spans="2:2" x14ac:dyDescent="0.25">
      <c r="B14" s="123"/>
    </row>
    <row r="15" spans="2:2" x14ac:dyDescent="0.25">
      <c r="B15" s="123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 zoomScale="156" zoomScaleNormal="100">
      <selection activeCell="C3" sqref="C3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4606.410000000001</v>
      </c>
    </row>
    <row r="2" ht="16" customHeight="1" spans="1:5" x14ac:dyDescent="0.25">
      <c r="A2" s="376" t="s">
        <v>341</v>
      </c>
      <c r="B2" s="379">
        <v>4000</v>
      </c>
      <c r="C2" s="376"/>
      <c r="D2" s="36" t="s">
        <v>898</v>
      </c>
      <c r="E2" s="378">
        <v>7495</v>
      </c>
    </row>
    <row r="3" ht="16" customHeight="1" spans="1:5" x14ac:dyDescent="0.25">
      <c r="A3" s="376" t="s">
        <v>899</v>
      </c>
      <c r="B3" s="123">
        <v>322.8</v>
      </c>
      <c r="C3" s="376"/>
      <c r="D3" s="36" t="s">
        <v>900</v>
      </c>
      <c r="E3" s="378">
        <f>E2-E1</f>
        <v>2888.5899999999992</v>
      </c>
    </row>
    <row r="4" spans="1:2" x14ac:dyDescent="0.25">
      <c r="A4" s="376" t="s">
        <v>864</v>
      </c>
      <c r="B4" s="123">
        <f>39.78/2</f>
        <v>19.89</v>
      </c>
    </row>
    <row r="5" spans="1:2" x14ac:dyDescent="0.25">
      <c r="A5" s="376" t="s">
        <v>864</v>
      </c>
      <c r="B5" s="123">
        <v>10</v>
      </c>
    </row>
    <row r="6" spans="1:2" x14ac:dyDescent="0.25">
      <c r="A6" s="376" t="s">
        <v>765</v>
      </c>
      <c r="B6" s="123">
        <v>16</v>
      </c>
    </row>
    <row r="7" spans="1:2" x14ac:dyDescent="0.25">
      <c r="A7" s="376" t="s">
        <v>939</v>
      </c>
      <c r="B7" s="123">
        <v>160</v>
      </c>
    </row>
    <row r="8" spans="1:2" x14ac:dyDescent="0.25">
      <c r="A8" s="376" t="s">
        <v>42</v>
      </c>
      <c r="B8" s="123">
        <v>77.72</v>
      </c>
    </row>
    <row r="9" spans="2:2" x14ac:dyDescent="0.25">
      <c r="B9" s="123"/>
    </row>
    <row r="10" spans="2:2" x14ac:dyDescent="0.25">
      <c r="B10" s="123"/>
    </row>
    <row r="11" spans="2:2" x14ac:dyDescent="0.25">
      <c r="B11" s="123"/>
    </row>
    <row r="12" spans="2:2" x14ac:dyDescent="0.25">
      <c r="B12" s="123"/>
    </row>
    <row r="13" spans="2:2" x14ac:dyDescent="0.25">
      <c r="B13" s="123"/>
    </row>
    <row r="14" spans="2:2" x14ac:dyDescent="0.25">
      <c r="B14" s="123"/>
    </row>
    <row r="15" spans="2:2" x14ac:dyDescent="0.25">
      <c r="B15" s="123"/>
    </row>
    <row r="16" spans="2:2" x14ac:dyDescent="0.25">
      <c r="B16" s="123"/>
    </row>
    <row r="17" spans="2:2" x14ac:dyDescent="0.25">
      <c r="B17" s="123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 zoomScale="150" zoomScaleNormal="100">
      <selection activeCell="B8" sqref="B8"/>
    </sheetView>
  </sheetViews>
  <sheetFormatPr defaultRowHeight="15" outlineLevelRow="0" outlineLevelCol="0" x14ac:dyDescent="0" defaultColWidth="11.5"/>
  <cols>
    <col min="1" max="1" width="15.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7508.910000000001</v>
      </c>
    </row>
    <row r="2" ht="16" customHeight="1" spans="1:5" x14ac:dyDescent="0.25">
      <c r="A2" s="376" t="s">
        <v>341</v>
      </c>
      <c r="B2" s="379">
        <v>6300</v>
      </c>
      <c r="C2" s="376"/>
      <c r="D2" s="36" t="s">
        <v>898</v>
      </c>
      <c r="E2" s="378">
        <v>10800</v>
      </c>
    </row>
    <row r="3" ht="16" customHeight="1" spans="1:5" x14ac:dyDescent="0.25">
      <c r="A3" s="376" t="s">
        <v>899</v>
      </c>
      <c r="B3" s="123">
        <v>346.8</v>
      </c>
      <c r="C3" s="376"/>
      <c r="D3" s="36" t="s">
        <v>900</v>
      </c>
      <c r="E3" s="378">
        <f>E2-E1</f>
        <v>3291.0899999999992</v>
      </c>
    </row>
    <row r="4" spans="1:2" x14ac:dyDescent="0.25">
      <c r="A4" s="376" t="s">
        <v>864</v>
      </c>
      <c r="B4" s="123">
        <f>39.78/2</f>
        <v>19.89</v>
      </c>
    </row>
    <row r="5" spans="1:2" x14ac:dyDescent="0.25">
      <c r="A5" s="376" t="s">
        <v>864</v>
      </c>
      <c r="B5" s="123">
        <v>40.3</v>
      </c>
    </row>
    <row r="6" spans="1:2" x14ac:dyDescent="0.25">
      <c r="A6" s="376" t="s">
        <v>940</v>
      </c>
      <c r="B6" s="123">
        <v>25.2</v>
      </c>
    </row>
    <row r="7" spans="1:2" x14ac:dyDescent="0.25">
      <c r="A7" s="376" t="s">
        <v>934</v>
      </c>
      <c r="B7" s="123">
        <v>220</v>
      </c>
    </row>
    <row r="8" spans="1:2" x14ac:dyDescent="0.25">
      <c r="A8" s="376" t="s">
        <v>941</v>
      </c>
      <c r="B8" s="123">
        <v>220</v>
      </c>
    </row>
    <row r="9" spans="1:2" x14ac:dyDescent="0.25">
      <c r="A9" s="376" t="s">
        <v>942</v>
      </c>
      <c r="B9" s="123">
        <v>22.99</v>
      </c>
    </row>
    <row r="10" spans="1:2" x14ac:dyDescent="0.25">
      <c r="A10" s="376" t="s">
        <v>909</v>
      </c>
      <c r="B10" s="123">
        <v>8</v>
      </c>
    </row>
    <row r="11" spans="1:2" x14ac:dyDescent="0.25">
      <c r="A11" s="376" t="s">
        <v>909</v>
      </c>
      <c r="B11" s="123">
        <v>8</v>
      </c>
    </row>
    <row r="12" spans="1:2" x14ac:dyDescent="0.25">
      <c r="A12" s="376" t="s">
        <v>943</v>
      </c>
      <c r="B12" s="123">
        <v>55</v>
      </c>
    </row>
    <row r="13" spans="1:2" x14ac:dyDescent="0.25">
      <c r="A13" s="376" t="s">
        <v>864</v>
      </c>
      <c r="B13" s="123">
        <v>15.01</v>
      </c>
    </row>
    <row r="14" spans="1:2" x14ac:dyDescent="0.25">
      <c r="A14" s="376" t="s">
        <v>765</v>
      </c>
      <c r="B14" s="123">
        <v>25</v>
      </c>
    </row>
    <row r="15" spans="1:2" x14ac:dyDescent="0.25">
      <c r="A15" s="376" t="s">
        <v>42</v>
      </c>
      <c r="B15" s="123">
        <v>77.72</v>
      </c>
    </row>
    <row r="16" spans="1:2" x14ac:dyDescent="0.25">
      <c r="A16" s="376" t="s">
        <v>920</v>
      </c>
      <c r="B16" s="123">
        <v>125</v>
      </c>
    </row>
    <row r="17" spans="2:2" x14ac:dyDescent="0.25">
      <c r="B17" s="123"/>
    </row>
    <row r="18" spans="2:2" x14ac:dyDescent="0.25">
      <c r="B18" s="123"/>
    </row>
    <row r="19" spans="2:2" x14ac:dyDescent="0.25">
      <c r="B19" s="123"/>
    </row>
    <row r="20" spans="2:2" x14ac:dyDescent="0.25">
      <c r="B20" s="123"/>
    </row>
    <row r="21" spans="2:2" x14ac:dyDescent="0.25">
      <c r="B21" s="123"/>
    </row>
    <row r="22" spans="2:2" x14ac:dyDescent="0.25">
      <c r="B22" s="123"/>
    </row>
    <row r="23" spans="2:2" x14ac:dyDescent="0.25">
      <c r="B23" s="123"/>
    </row>
    <row r="24" spans="2:2" x14ac:dyDescent="0.25">
      <c r="B24" s="123"/>
    </row>
    <row r="25" spans="2:2" x14ac:dyDescent="0.25">
      <c r="B25" s="123"/>
    </row>
    <row r="26" spans="2:2" x14ac:dyDescent="0.25">
      <c r="B26" s="123"/>
    </row>
    <row r="27" spans="2:2" x14ac:dyDescent="0.25">
      <c r="B27" s="123"/>
    </row>
    <row r="28" spans="2:2" x14ac:dyDescent="0.25">
      <c r="B28" s="123"/>
    </row>
    <row r="29" spans="2:2" x14ac:dyDescent="0.25">
      <c r="B29" s="123"/>
    </row>
    <row r="30" spans="2:2" x14ac:dyDescent="0.25">
      <c r="B30" s="123"/>
    </row>
    <row r="31" spans="2:2" x14ac:dyDescent="0.25">
      <c r="B31" s="123"/>
    </row>
    <row r="32" spans="2:2" x14ac:dyDescent="0.25">
      <c r="B32" s="123"/>
    </row>
    <row r="33" spans="2:2" x14ac:dyDescent="0.25">
      <c r="B33" s="123"/>
    </row>
    <row r="34" spans="2:2" x14ac:dyDescent="0.25">
      <c r="B34" s="123"/>
    </row>
    <row r="35" spans="2:2" x14ac:dyDescent="0.25">
      <c r="B35" s="123"/>
    </row>
    <row r="36" spans="2:2" x14ac:dyDescent="0.25">
      <c r="B36" s="123"/>
    </row>
    <row r="37" spans="2:2" x14ac:dyDescent="0.25">
      <c r="B37" s="123"/>
    </row>
    <row r="38" spans="2:2" x14ac:dyDescent="0.25">
      <c r="B38" s="123"/>
    </row>
    <row r="39" spans="2:2" x14ac:dyDescent="0.25">
      <c r="B39" s="123"/>
    </row>
    <row r="40" spans="2:2" x14ac:dyDescent="0.25">
      <c r="B40" s="123"/>
    </row>
    <row r="41" spans="2:2" x14ac:dyDescent="0.25">
      <c r="B41" s="123"/>
    </row>
    <row r="42" spans="2:2" x14ac:dyDescent="0.25">
      <c r="B42" s="123"/>
    </row>
    <row r="43" spans="2:2" x14ac:dyDescent="0.25">
      <c r="B43" s="123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 zoomScale="100" zoomScaleNormal="100">
      <selection activeCell="C10" sqref="C10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5558.93</v>
      </c>
    </row>
    <row r="2" ht="16" customHeight="1" spans="1:5" x14ac:dyDescent="0.25">
      <c r="A2" s="376" t="s">
        <v>341</v>
      </c>
      <c r="B2" s="379">
        <v>4400</v>
      </c>
      <c r="C2" s="376"/>
      <c r="D2" s="36" t="s">
        <v>898</v>
      </c>
      <c r="E2" s="378"/>
    </row>
    <row r="3" ht="16" customHeight="1" spans="1:5" x14ac:dyDescent="0.25">
      <c r="A3" s="376" t="s">
        <v>899</v>
      </c>
      <c r="B3" s="123">
        <v>406.8</v>
      </c>
      <c r="C3" s="376"/>
      <c r="D3" s="36" t="s">
        <v>900</v>
      </c>
      <c r="E3" s="378">
        <f>E2-E1</f>
        <v>-5558.93</v>
      </c>
    </row>
    <row r="4" spans="1:2" x14ac:dyDescent="0.25">
      <c r="A4" s="376" t="s">
        <v>864</v>
      </c>
      <c r="B4" s="123">
        <v>35.05</v>
      </c>
    </row>
    <row r="5" spans="1:2" x14ac:dyDescent="0.25">
      <c r="A5" s="381" t="s">
        <v>944</v>
      </c>
      <c r="B5" s="123">
        <v>74.95</v>
      </c>
    </row>
    <row r="6" spans="1:2" x14ac:dyDescent="0.25">
      <c r="A6" s="381" t="s">
        <v>945</v>
      </c>
      <c r="B6" s="123">
        <v>49.88</v>
      </c>
    </row>
    <row r="7" spans="1:2" x14ac:dyDescent="0.25">
      <c r="A7" s="381" t="s">
        <v>887</v>
      </c>
      <c r="B7" s="123">
        <v>300</v>
      </c>
    </row>
    <row r="8" spans="1:2" x14ac:dyDescent="0.25">
      <c r="A8" s="381" t="s">
        <v>867</v>
      </c>
      <c r="B8" s="123">
        <v>240</v>
      </c>
    </row>
    <row r="9" spans="1:2" x14ac:dyDescent="0.25">
      <c r="A9" s="381" t="s">
        <v>870</v>
      </c>
      <c r="B9" s="123">
        <v>40</v>
      </c>
    </row>
    <row r="10" spans="1:2" x14ac:dyDescent="0.25">
      <c r="A10" s="381" t="s">
        <v>864</v>
      </c>
      <c r="B10" s="123">
        <v>12.25</v>
      </c>
    </row>
    <row r="11" spans="2:2" x14ac:dyDescent="0.25">
      <c r="B11" s="123"/>
    </row>
    <row r="12" spans="2:2" x14ac:dyDescent="0.25">
      <c r="B12" s="123"/>
    </row>
    <row r="13" spans="2:2" x14ac:dyDescent="0.25">
      <c r="B13" s="123"/>
    </row>
    <row r="14" spans="2:2" x14ac:dyDescent="0.25">
      <c r="B14" s="123"/>
    </row>
    <row r="15" spans="2:2" x14ac:dyDescent="0.25">
      <c r="B15" s="123"/>
    </row>
    <row r="16" spans="2:2" x14ac:dyDescent="0.25">
      <c r="B16" s="123"/>
    </row>
    <row r="17" spans="2:2" x14ac:dyDescent="0.25">
      <c r="B17" s="123"/>
    </row>
    <row r="18" spans="2:2" x14ac:dyDescent="0.25">
      <c r="B18" s="123"/>
    </row>
    <row r="19" spans="2:2" x14ac:dyDescent="0.25">
      <c r="B19" s="123"/>
    </row>
    <row r="20" spans="2:2" x14ac:dyDescent="0.25">
      <c r="B20" s="123"/>
    </row>
    <row r="21" spans="2:2" x14ac:dyDescent="0.25">
      <c r="B21" s="123"/>
    </row>
    <row r="22" spans="2:2" x14ac:dyDescent="0.25">
      <c r="B22" s="123"/>
    </row>
    <row r="23" spans="2:2" x14ac:dyDescent="0.25">
      <c r="B23" s="123"/>
    </row>
    <row r="24" spans="2:2" x14ac:dyDescent="0.25">
      <c r="B24" s="123"/>
    </row>
    <row r="25" spans="2:2" x14ac:dyDescent="0.25">
      <c r="B25" s="123"/>
    </row>
    <row r="26" spans="2:2" x14ac:dyDescent="0.25">
      <c r="B26" s="123"/>
    </row>
    <row r="27" spans="2:2" x14ac:dyDescent="0.25">
      <c r="B27" s="123"/>
    </row>
    <row r="28" spans="2:2" x14ac:dyDescent="0.25">
      <c r="B28" s="123"/>
    </row>
    <row r="29" spans="2:2" x14ac:dyDescent="0.25">
      <c r="B29" s="123"/>
    </row>
    <row r="30" spans="2:2" x14ac:dyDescent="0.25">
      <c r="B30" s="123"/>
    </row>
    <row r="31" spans="2:2" x14ac:dyDescent="0.25">
      <c r="B31" s="123"/>
    </row>
    <row r="32" spans="2:2" x14ac:dyDescent="0.25">
      <c r="B32" s="123"/>
    </row>
    <row r="33" spans="2:2" x14ac:dyDescent="0.25">
      <c r="B33" s="123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 zoomScale="100" zoomScaleNormal="100">
      <selection activeCell="F2" sqref="F2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4779.49</v>
      </c>
    </row>
    <row r="2" ht="16" customHeight="1" spans="1:5" x14ac:dyDescent="0.25">
      <c r="A2" s="376" t="s">
        <v>341</v>
      </c>
      <c r="B2" s="379">
        <v>4150</v>
      </c>
      <c r="C2" s="376"/>
      <c r="D2" s="36" t="s">
        <v>898</v>
      </c>
      <c r="E2" s="378"/>
    </row>
    <row r="3" ht="16" customHeight="1" spans="1:5" x14ac:dyDescent="0.25">
      <c r="A3" s="376" t="s">
        <v>899</v>
      </c>
      <c r="B3" s="123">
        <v>322.8</v>
      </c>
      <c r="C3" s="376"/>
      <c r="D3" s="36" t="s">
        <v>900</v>
      </c>
      <c r="E3" s="378">
        <f>E2-E1</f>
        <v>-4779.49</v>
      </c>
    </row>
    <row r="4" spans="1:2" x14ac:dyDescent="0.25">
      <c r="A4" s="376" t="s">
        <v>864</v>
      </c>
      <c r="B4" s="123">
        <f>47.5+15.27</f>
        <v>62.769999999999996</v>
      </c>
    </row>
    <row r="5" spans="1:2" x14ac:dyDescent="0.25">
      <c r="A5" s="381" t="s">
        <v>946</v>
      </c>
      <c r="B5" s="123">
        <v>52.28</v>
      </c>
    </row>
    <row r="6" spans="1:2" x14ac:dyDescent="0.25">
      <c r="A6" s="376" t="s">
        <v>560</v>
      </c>
      <c r="B6" s="123">
        <f>69.46/2</f>
        <v>34.73</v>
      </c>
    </row>
    <row r="7" spans="1:2" x14ac:dyDescent="0.25">
      <c r="A7" s="381" t="s">
        <v>572</v>
      </c>
      <c r="B7" s="123">
        <f>35.5/2</f>
        <v>17.75</v>
      </c>
    </row>
    <row r="8" spans="1:2" x14ac:dyDescent="0.25">
      <c r="A8" s="381" t="s">
        <v>947</v>
      </c>
      <c r="B8" s="123">
        <v>10.97</v>
      </c>
    </row>
    <row r="9" spans="1:2" x14ac:dyDescent="0.25">
      <c r="A9" s="381" t="s">
        <v>901</v>
      </c>
      <c r="B9" s="123">
        <v>8.19</v>
      </c>
    </row>
    <row r="10" spans="1:2" x14ac:dyDescent="0.25">
      <c r="A10" s="381" t="s">
        <v>880</v>
      </c>
      <c r="B10" s="123">
        <v>120</v>
      </c>
    </row>
    <row r="11" spans="2:2" x14ac:dyDescent="0.25">
      <c r="B11" s="123"/>
    </row>
    <row r="12" spans="2:3" x14ac:dyDescent="0.25">
      <c r="B12" s="123"/>
      <c r="C12" t="s">
        <v>379</v>
      </c>
    </row>
    <row r="13" spans="2:2" x14ac:dyDescent="0.25">
      <c r="B13" s="123"/>
    </row>
    <row r="14" spans="2:2" x14ac:dyDescent="0.25">
      <c r="B14" s="123"/>
    </row>
    <row r="15" spans="2:2" x14ac:dyDescent="0.25">
      <c r="B15" s="123"/>
    </row>
    <row r="16" spans="2:2" x14ac:dyDescent="0.25">
      <c r="B16" s="123"/>
    </row>
    <row r="17" spans="2:2" x14ac:dyDescent="0.25">
      <c r="B17" s="123"/>
    </row>
    <row r="18" spans="2:2" x14ac:dyDescent="0.25">
      <c r="B18" s="123"/>
    </row>
    <row r="19" spans="2:2" x14ac:dyDescent="0.25">
      <c r="B19" s="123"/>
    </row>
    <row r="20" spans="2:2" x14ac:dyDescent="0.25">
      <c r="B20" s="123"/>
    </row>
    <row r="21" spans="2:2" x14ac:dyDescent="0.25">
      <c r="B21" s="123"/>
    </row>
    <row r="22" spans="2:2" x14ac:dyDescent="0.25">
      <c r="B22" s="123"/>
    </row>
    <row r="23" spans="2:2" x14ac:dyDescent="0.25">
      <c r="B23" s="123"/>
    </row>
    <row r="24" spans="2:2" x14ac:dyDescent="0.25">
      <c r="B24" s="123"/>
    </row>
    <row r="25" spans="2:2" x14ac:dyDescent="0.25">
      <c r="B25" s="123"/>
    </row>
    <row r="26" spans="2:2" x14ac:dyDescent="0.25">
      <c r="B26" s="123"/>
    </row>
    <row r="27" spans="2:2" x14ac:dyDescent="0.25">
      <c r="B27" s="123"/>
    </row>
    <row r="28" spans="2:2" x14ac:dyDescent="0.25">
      <c r="B28" s="123"/>
    </row>
    <row r="29" spans="2:2" x14ac:dyDescent="0.25">
      <c r="B29" s="123"/>
    </row>
    <row r="30" spans="2:2" x14ac:dyDescent="0.25">
      <c r="B30" s="123"/>
    </row>
    <row r="31" spans="2:2" x14ac:dyDescent="0.25">
      <c r="B31" s="123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zoomScale="100" zoomScaleNormal="100">
      <selection activeCell="I24" sqref="I24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6993.22</v>
      </c>
    </row>
    <row r="2" ht="16" customHeight="1" spans="1:5" x14ac:dyDescent="0.25">
      <c r="A2" s="376" t="s">
        <v>341</v>
      </c>
      <c r="B2" s="379">
        <v>6400</v>
      </c>
      <c r="C2" s="376"/>
      <c r="D2" s="36" t="s">
        <v>898</v>
      </c>
      <c r="E2" s="378">
        <v>8400</v>
      </c>
    </row>
    <row r="3" ht="16" customHeight="1" spans="1:5" x14ac:dyDescent="0.25">
      <c r="A3" s="376" t="s">
        <v>899</v>
      </c>
      <c r="B3" s="123">
        <v>406.8</v>
      </c>
      <c r="C3" s="376"/>
      <c r="D3" s="36" t="s">
        <v>900</v>
      </c>
      <c r="E3" s="378">
        <f>E2-E1</f>
        <v>1406.7799999999997</v>
      </c>
    </row>
    <row r="4" spans="1:2" x14ac:dyDescent="0.25">
      <c r="A4" s="376" t="s">
        <v>864</v>
      </c>
      <c r="B4" s="123">
        <v>5.17</v>
      </c>
    </row>
    <row r="5" spans="1:2" x14ac:dyDescent="0.25">
      <c r="A5" s="376" t="s">
        <v>864</v>
      </c>
      <c r="B5" s="123">
        <v>64.58</v>
      </c>
    </row>
    <row r="6" spans="1:2" x14ac:dyDescent="0.25">
      <c r="A6" s="376" t="s">
        <v>560</v>
      </c>
      <c r="B6" s="123">
        <f>69.46/2</f>
        <v>34.73</v>
      </c>
    </row>
    <row r="7" spans="1:2" x14ac:dyDescent="0.25">
      <c r="A7" s="381" t="s">
        <v>572</v>
      </c>
      <c r="B7" s="123">
        <f>35.5/2</f>
        <v>17.75</v>
      </c>
    </row>
    <row r="8" spans="1:2" x14ac:dyDescent="0.25">
      <c r="A8" s="381" t="s">
        <v>948</v>
      </c>
      <c r="B8" s="123">
        <v>5.89</v>
      </c>
    </row>
    <row r="9" spans="1:2" x14ac:dyDescent="0.25">
      <c r="A9" t="s">
        <v>42</v>
      </c>
      <c r="B9" s="123">
        <v>58.3</v>
      </c>
    </row>
    <row r="10" spans="2:2" x14ac:dyDescent="0.25">
      <c r="B10" s="123"/>
    </row>
    <row r="11" spans="2:2" x14ac:dyDescent="0.25">
      <c r="B11" s="123"/>
    </row>
    <row r="12" spans="2:2" x14ac:dyDescent="0.25">
      <c r="B12" s="123"/>
    </row>
    <row r="13" spans="2:2" x14ac:dyDescent="0.25">
      <c r="B13" s="123"/>
    </row>
    <row r="14" spans="2:2" x14ac:dyDescent="0.25">
      <c r="B14" s="123"/>
    </row>
    <row r="15" spans="2:2" x14ac:dyDescent="0.25">
      <c r="B15" s="123"/>
    </row>
    <row r="16" spans="2:2" x14ac:dyDescent="0.25">
      <c r="B16" s="123"/>
    </row>
    <row r="17" spans="2:2" x14ac:dyDescent="0.25">
      <c r="B17" s="123"/>
    </row>
    <row r="18" spans="2:2" x14ac:dyDescent="0.25">
      <c r="B18" s="123"/>
    </row>
    <row r="19" spans="2:2" x14ac:dyDescent="0.25">
      <c r="B19" s="123"/>
    </row>
    <row r="20" spans="2:2" x14ac:dyDescent="0.25">
      <c r="B20" s="123"/>
    </row>
    <row r="21" spans="2:2" x14ac:dyDescent="0.25">
      <c r="B21" s="123"/>
    </row>
    <row r="22" spans="2:2" x14ac:dyDescent="0.25">
      <c r="B22" s="123"/>
    </row>
    <row r="23" spans="2:2" x14ac:dyDescent="0.25">
      <c r="B23" s="123"/>
    </row>
    <row r="24" spans="2:2" x14ac:dyDescent="0.25">
      <c r="B24" s="123"/>
    </row>
    <row r="25" spans="2:2" x14ac:dyDescent="0.25">
      <c r="B25" s="123"/>
    </row>
    <row r="26" spans="2:2" x14ac:dyDescent="0.25">
      <c r="B26" s="123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zoomScale="150" zoomScaleNormal="84">
      <selection activeCell="C15" sqref="C15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8231.48</v>
      </c>
    </row>
    <row r="2" ht="16" customHeight="1" spans="1:5" x14ac:dyDescent="0.25">
      <c r="A2" s="376" t="s">
        <v>341</v>
      </c>
      <c r="B2" s="379">
        <v>6700</v>
      </c>
      <c r="C2" s="376"/>
      <c r="D2" s="36" t="s">
        <v>898</v>
      </c>
      <c r="E2" s="123">
        <v>10995</v>
      </c>
    </row>
    <row r="3" ht="16" customHeight="1" spans="1:5" x14ac:dyDescent="0.25">
      <c r="A3" s="376" t="s">
        <v>899</v>
      </c>
      <c r="B3" s="389">
        <v>406.8</v>
      </c>
      <c r="C3" s="376"/>
      <c r="D3" s="36" t="s">
        <v>900</v>
      </c>
      <c r="E3" s="378">
        <f>E2-E1</f>
        <v>2763.5200000000004</v>
      </c>
    </row>
    <row r="4" spans="1:5" x14ac:dyDescent="0.25">
      <c r="A4" s="376" t="s">
        <v>864</v>
      </c>
      <c r="B4" s="389">
        <v>4.45</v>
      </c>
      <c r="C4" s="376"/>
      <c r="D4" s="36"/>
      <c r="E4" s="378"/>
    </row>
    <row r="5" spans="1:2" x14ac:dyDescent="0.25">
      <c r="A5" s="376" t="s">
        <v>864</v>
      </c>
      <c r="B5" s="123">
        <v>10.03</v>
      </c>
    </row>
    <row r="6" spans="1:2" x14ac:dyDescent="0.25">
      <c r="A6" s="376" t="s">
        <v>552</v>
      </c>
      <c r="B6" s="123">
        <v>25</v>
      </c>
    </row>
    <row r="7" spans="1:2" x14ac:dyDescent="0.25">
      <c r="A7" s="376" t="s">
        <v>949</v>
      </c>
      <c r="B7" s="123">
        <v>11.44</v>
      </c>
    </row>
    <row r="8" spans="1:2" x14ac:dyDescent="0.25">
      <c r="A8" s="376" t="s">
        <v>867</v>
      </c>
      <c r="B8" s="123">
        <v>160</v>
      </c>
    </row>
    <row r="9" spans="1:2" x14ac:dyDescent="0.25">
      <c r="A9" s="376" t="s">
        <v>765</v>
      </c>
      <c r="B9" s="123">
        <v>16</v>
      </c>
    </row>
    <row r="10" spans="1:2" x14ac:dyDescent="0.25">
      <c r="A10" s="381" t="s">
        <v>950</v>
      </c>
      <c r="B10" s="123">
        <v>30</v>
      </c>
    </row>
    <row r="11" spans="1:2" x14ac:dyDescent="0.25">
      <c r="A11" s="381" t="s">
        <v>901</v>
      </c>
      <c r="B11" s="123">
        <v>10.04</v>
      </c>
    </row>
    <row r="12" spans="1:2" x14ac:dyDescent="0.25">
      <c r="A12" s="381" t="s">
        <v>951</v>
      </c>
      <c r="B12" s="123">
        <v>650</v>
      </c>
    </row>
    <row r="13" spans="1:2" x14ac:dyDescent="0.25">
      <c r="A13" s="381" t="s">
        <v>941</v>
      </c>
      <c r="B13" s="123">
        <v>90</v>
      </c>
    </row>
    <row r="14" spans="1:2" x14ac:dyDescent="0.25">
      <c r="A14" s="381" t="s">
        <v>917</v>
      </c>
      <c r="B14" s="123">
        <v>77.72</v>
      </c>
    </row>
    <row r="15" spans="1:2" x14ac:dyDescent="0.25">
      <c r="A15" s="381" t="s">
        <v>952</v>
      </c>
      <c r="B15" s="123">
        <v>40</v>
      </c>
    </row>
    <row r="16" spans="2:2" x14ac:dyDescent="0.25">
      <c r="B16" s="123"/>
    </row>
    <row r="17" spans="2:2" x14ac:dyDescent="0.25">
      <c r="B17" s="123"/>
    </row>
    <row r="18" spans="2:2" x14ac:dyDescent="0.25">
      <c r="B18" s="123"/>
    </row>
    <row r="19" spans="2:2" x14ac:dyDescent="0.25">
      <c r="B19" s="123"/>
    </row>
    <row r="20" spans="2:2" x14ac:dyDescent="0.25">
      <c r="B20" s="123"/>
    </row>
    <row r="21" spans="2:2" x14ac:dyDescent="0.25">
      <c r="B21" s="123"/>
    </row>
    <row r="22" spans="2:2" x14ac:dyDescent="0.25">
      <c r="B22" s="123"/>
    </row>
    <row r="23" spans="2:2" x14ac:dyDescent="0.25">
      <c r="B23" s="123"/>
    </row>
    <row r="24" spans="2:2" x14ac:dyDescent="0.25">
      <c r="B24" s="123"/>
    </row>
    <row r="25" spans="2:2" x14ac:dyDescent="0.25">
      <c r="B25" s="123"/>
    </row>
    <row r="26" spans="2:2" x14ac:dyDescent="0.25">
      <c r="B26" s="123"/>
    </row>
    <row r="27" spans="2:2" x14ac:dyDescent="0.25">
      <c r="B27" s="123"/>
    </row>
    <row r="28" spans="2:2" x14ac:dyDescent="0.25">
      <c r="B28" s="123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 zoomScale="100" zoomScaleNormal="100">
      <selection activeCell="A11" sqref="A11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SUM(B$2:B$1048576)</f>
        <v>1459.2400000000002</v>
      </c>
    </row>
    <row r="2" ht="16" customHeight="1" spans="1:5" x14ac:dyDescent="0.25">
      <c r="A2" s="376" t="s">
        <v>340</v>
      </c>
      <c r="B2" s="379">
        <v>1219.16</v>
      </c>
      <c r="C2" s="376"/>
      <c r="D2" s="36" t="s">
        <v>898</v>
      </c>
      <c r="E2" s="378">
        <v>5295</v>
      </c>
    </row>
    <row r="3" ht="16" customHeight="1" spans="1:5" x14ac:dyDescent="0.25">
      <c r="A3" s="376" t="s">
        <v>887</v>
      </c>
      <c r="B3" s="123">
        <v>40</v>
      </c>
      <c r="C3" s="376"/>
      <c r="D3" s="36" t="s">
        <v>900</v>
      </c>
      <c r="E3" s="378">
        <f>E2-E1</f>
        <v>3835.7599999999998</v>
      </c>
    </row>
    <row r="4" spans="1:2" x14ac:dyDescent="0.25">
      <c r="A4" t="s">
        <v>552</v>
      </c>
      <c r="B4" s="123">
        <v>35</v>
      </c>
    </row>
    <row r="5" spans="1:2" x14ac:dyDescent="0.25">
      <c r="A5" s="376" t="s">
        <v>953</v>
      </c>
      <c r="B5" s="123">
        <v>43.49</v>
      </c>
    </row>
    <row r="6" spans="1:2" x14ac:dyDescent="0.25">
      <c r="A6" s="376" t="s">
        <v>864</v>
      </c>
      <c r="B6" s="123">
        <v>5</v>
      </c>
    </row>
    <row r="7" spans="1:2" x14ac:dyDescent="0.25">
      <c r="A7" s="376" t="s">
        <v>864</v>
      </c>
      <c r="B7" s="123">
        <v>13.13</v>
      </c>
    </row>
    <row r="8" spans="1:2" x14ac:dyDescent="0.25">
      <c r="A8" s="376" t="s">
        <v>901</v>
      </c>
      <c r="B8" s="123">
        <v>5.16</v>
      </c>
    </row>
    <row r="9" spans="1:2" x14ac:dyDescent="0.25">
      <c r="A9" t="s">
        <v>42</v>
      </c>
      <c r="B9" s="123">
        <v>58.3</v>
      </c>
    </row>
    <row r="10" spans="1:2" x14ac:dyDescent="0.25">
      <c r="A10" s="376" t="s">
        <v>570</v>
      </c>
      <c r="B10" s="123">
        <v>40</v>
      </c>
    </row>
    <row r="11" spans="2:2" x14ac:dyDescent="0.25">
      <c r="B11" s="123"/>
    </row>
    <row r="12" spans="2:2" x14ac:dyDescent="0.25">
      <c r="B12" s="123"/>
    </row>
    <row r="13" spans="2:2" x14ac:dyDescent="0.25">
      <c r="B13" s="123"/>
    </row>
    <row r="14" spans="2:2" x14ac:dyDescent="0.25">
      <c r="B14" s="123"/>
    </row>
    <row r="15" spans="2:2" x14ac:dyDescent="0.25">
      <c r="B15" s="123"/>
    </row>
    <row r="16" spans="2:2" x14ac:dyDescent="0.25">
      <c r="B16" s="123"/>
    </row>
    <row r="17" spans="2:2" x14ac:dyDescent="0.25">
      <c r="B17" s="123"/>
    </row>
    <row r="18" spans="2:2" x14ac:dyDescent="0.25">
      <c r="B18" s="123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 zoomScale="100" zoomScaleNormal="100">
      <selection activeCell="F3" sqref="F3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5510.5199999999995</v>
      </c>
    </row>
    <row r="2" ht="16" customHeight="1" spans="1:5" x14ac:dyDescent="0.25">
      <c r="A2" s="376" t="s">
        <v>341</v>
      </c>
      <c r="B2" s="379">
        <v>4900</v>
      </c>
      <c r="C2" s="376"/>
      <c r="D2" s="36" t="s">
        <v>898</v>
      </c>
      <c r="E2" s="378">
        <v>7795</v>
      </c>
    </row>
    <row r="3" ht="16" customHeight="1" spans="1:5" x14ac:dyDescent="0.25">
      <c r="A3" s="376" t="s">
        <v>899</v>
      </c>
      <c r="B3" s="123">
        <v>346.8</v>
      </c>
      <c r="C3" s="376"/>
      <c r="D3" s="36" t="s">
        <v>900</v>
      </c>
      <c r="E3" s="378">
        <f>E2-E1</f>
        <v>2284.4800000000005</v>
      </c>
    </row>
    <row r="4" spans="1:2" x14ac:dyDescent="0.25">
      <c r="A4" s="376" t="s">
        <v>954</v>
      </c>
      <c r="B4" s="123">
        <v>15</v>
      </c>
    </row>
    <row r="5" spans="1:2" x14ac:dyDescent="0.25">
      <c r="A5" s="376" t="s">
        <v>955</v>
      </c>
      <c r="B5" s="123">
        <v>4.73</v>
      </c>
    </row>
    <row r="6" spans="1:2" x14ac:dyDescent="0.25">
      <c r="A6" s="376" t="s">
        <v>887</v>
      </c>
      <c r="B6" s="123">
        <v>50</v>
      </c>
    </row>
    <row r="7" spans="1:2" x14ac:dyDescent="0.25">
      <c r="A7" s="376" t="s">
        <v>901</v>
      </c>
      <c r="B7" s="123">
        <v>14.28</v>
      </c>
    </row>
    <row r="8" spans="1:2" x14ac:dyDescent="0.25">
      <c r="A8" s="376" t="s">
        <v>870</v>
      </c>
      <c r="B8" s="123">
        <v>40</v>
      </c>
    </row>
    <row r="9" spans="1:2" x14ac:dyDescent="0.25">
      <c r="A9" s="376" t="s">
        <v>953</v>
      </c>
      <c r="B9" s="123">
        <v>61.99</v>
      </c>
    </row>
    <row r="10" spans="1:2" x14ac:dyDescent="0.25">
      <c r="A10" s="376" t="s">
        <v>42</v>
      </c>
      <c r="B10" s="123">
        <v>77.72</v>
      </c>
    </row>
    <row r="11" spans="2:2" x14ac:dyDescent="0.25">
      <c r="B11" s="123"/>
    </row>
    <row r="12" spans="2:2" x14ac:dyDescent="0.25">
      <c r="B12" s="123"/>
    </row>
    <row r="13" spans="2:2" x14ac:dyDescent="0.25">
      <c r="B13" s="123"/>
    </row>
    <row r="14" spans="2:2" x14ac:dyDescent="0.25">
      <c r="B14" s="123"/>
    </row>
    <row r="15" spans="2:2" x14ac:dyDescent="0.25">
      <c r="B15" s="123"/>
    </row>
    <row r="16" spans="2:2" x14ac:dyDescent="0.25">
      <c r="B16" s="123"/>
    </row>
    <row r="17" spans="2:2" x14ac:dyDescent="0.25">
      <c r="B17" s="123"/>
    </row>
    <row r="18" spans="2:2" x14ac:dyDescent="0.25">
      <c r="B18" s="123"/>
    </row>
    <row r="19" spans="2:2" x14ac:dyDescent="0.25">
      <c r="B19" s="123"/>
    </row>
    <row r="20" spans="2:2" x14ac:dyDescent="0.25">
      <c r="B20" s="123"/>
    </row>
    <row r="21" spans="2:2" x14ac:dyDescent="0.25">
      <c r="B21" s="123"/>
    </row>
    <row r="22" spans="2:2" x14ac:dyDescent="0.25">
      <c r="B22" s="123"/>
    </row>
    <row r="23" spans="2:2" x14ac:dyDescent="0.25">
      <c r="B23" s="123"/>
    </row>
    <row r="24" spans="2:2" x14ac:dyDescent="0.25">
      <c r="B24" s="123"/>
    </row>
    <row r="25" spans="2:2" x14ac:dyDescent="0.25">
      <c r="B25" s="123"/>
    </row>
    <row r="26" spans="2:2" x14ac:dyDescent="0.25">
      <c r="B26" s="123"/>
    </row>
    <row r="27" spans="2:2" x14ac:dyDescent="0.25">
      <c r="B27" s="123"/>
    </row>
    <row r="28" spans="2:2" x14ac:dyDescent="0.25">
      <c r="B28" s="123"/>
    </row>
    <row r="29" spans="2:2" x14ac:dyDescent="0.25">
      <c r="B29" s="123"/>
    </row>
    <row r="30" spans="2:2" x14ac:dyDescent="0.25">
      <c r="B30" s="123"/>
    </row>
    <row r="31" spans="2:2" x14ac:dyDescent="0.25">
      <c r="B31" s="123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 zoomScale="100" zoomScaleNormal="100">
      <selection activeCell="C10" sqref="C10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5238.035000000001</v>
      </c>
    </row>
    <row r="2" ht="16" customHeight="1" spans="1:5" x14ac:dyDescent="0.25">
      <c r="A2" s="376" t="s">
        <v>341</v>
      </c>
      <c r="B2" s="379">
        <v>4750</v>
      </c>
      <c r="C2" s="376"/>
      <c r="D2" s="36" t="s">
        <v>898</v>
      </c>
      <c r="E2" s="378">
        <v>6995</v>
      </c>
    </row>
    <row r="3" ht="16" customHeight="1" spans="1:5" x14ac:dyDescent="0.25">
      <c r="A3" s="376" t="s">
        <v>899</v>
      </c>
      <c r="B3" s="379">
        <v>346.8</v>
      </c>
      <c r="C3" s="376"/>
      <c r="D3" s="36" t="s">
        <v>900</v>
      </c>
      <c r="E3" s="378">
        <f>E2-E1</f>
        <v>1756.9649999999992</v>
      </c>
    </row>
    <row r="4" spans="1:2" x14ac:dyDescent="0.25">
      <c r="A4" s="376" t="s">
        <v>765</v>
      </c>
      <c r="B4" s="379">
        <v>18</v>
      </c>
    </row>
    <row r="5" spans="1:2" x14ac:dyDescent="0.25">
      <c r="A5" s="376" t="s">
        <v>864</v>
      </c>
      <c r="B5" s="379">
        <v>11.26</v>
      </c>
    </row>
    <row r="6" spans="1:2" x14ac:dyDescent="0.25">
      <c r="A6" s="376" t="s">
        <v>864</v>
      </c>
      <c r="B6" s="379">
        <v>8.51</v>
      </c>
    </row>
    <row r="7" spans="2:2" x14ac:dyDescent="0.25">
      <c r="B7" s="123">
        <f>20.83/2</f>
        <v>10.415</v>
      </c>
    </row>
    <row r="8" spans="1:2" x14ac:dyDescent="0.25">
      <c r="A8" s="376" t="s">
        <v>864</v>
      </c>
      <c r="B8" s="379">
        <v>5.05</v>
      </c>
    </row>
    <row r="9" spans="1:2" x14ac:dyDescent="0.25">
      <c r="A9" s="376" t="s">
        <v>943</v>
      </c>
      <c r="B9" s="379">
        <v>48</v>
      </c>
    </row>
    <row r="10" spans="1:2" x14ac:dyDescent="0.25">
      <c r="A10" s="376" t="s">
        <v>952</v>
      </c>
      <c r="B10" s="379">
        <v>40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 zoomScale="100" zoomScaleNormal="100">
      <selection activeCell="F2" sqref="F2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6092.52</v>
      </c>
    </row>
    <row r="2" ht="16" customHeight="1" spans="1:5" x14ac:dyDescent="0.25">
      <c r="A2" s="376" t="s">
        <v>341</v>
      </c>
      <c r="B2" s="379">
        <v>5500</v>
      </c>
      <c r="C2" s="376"/>
      <c r="D2" s="36" t="s">
        <v>898</v>
      </c>
      <c r="E2" s="378"/>
    </row>
    <row r="3" ht="16" customHeight="1" spans="1:5" x14ac:dyDescent="0.25">
      <c r="A3" s="376" t="s">
        <v>899</v>
      </c>
      <c r="B3" s="379">
        <v>406.8</v>
      </c>
      <c r="C3" s="376"/>
      <c r="D3" s="36" t="s">
        <v>900</v>
      </c>
      <c r="E3" s="378">
        <f>E2-E1</f>
        <v>-6092.52</v>
      </c>
    </row>
    <row r="4" spans="2:2" x14ac:dyDescent="0.25">
      <c r="B4" s="123">
        <v>8</v>
      </c>
    </row>
    <row r="5" spans="1:2" x14ac:dyDescent="0.25">
      <c r="A5" s="376" t="s">
        <v>864</v>
      </c>
      <c r="B5" s="123">
        <v>25.02</v>
      </c>
    </row>
    <row r="6" spans="1:2" x14ac:dyDescent="0.25">
      <c r="A6" s="376" t="s">
        <v>864</v>
      </c>
      <c r="B6" s="123">
        <v>47.61</v>
      </c>
    </row>
    <row r="7" spans="1:2" x14ac:dyDescent="0.25">
      <c r="A7" s="376" t="s">
        <v>864</v>
      </c>
      <c r="B7" s="123">
        <v>5.09</v>
      </c>
    </row>
    <row r="8" spans="1:2" x14ac:dyDescent="0.25">
      <c r="A8" s="381" t="s">
        <v>920</v>
      </c>
      <c r="B8" s="123">
        <v>100</v>
      </c>
    </row>
    <row r="9" spans="2:2" x14ac:dyDescent="0.25">
      <c r="B9" s="123"/>
    </row>
    <row r="10" spans="2:2" x14ac:dyDescent="0.25">
      <c r="B10" s="123"/>
    </row>
    <row r="11" spans="2:2" x14ac:dyDescent="0.25">
      <c r="B11" s="123"/>
    </row>
    <row r="12" spans="2:2" x14ac:dyDescent="0.25">
      <c r="B12" s="123"/>
    </row>
    <row r="13" spans="2:2" x14ac:dyDescent="0.25">
      <c r="B13" s="123"/>
    </row>
    <row r="14" spans="2:2" x14ac:dyDescent="0.25">
      <c r="B14" s="123"/>
    </row>
    <row r="15" spans="2:2" x14ac:dyDescent="0.25">
      <c r="B15" s="123"/>
    </row>
    <row r="16" spans="2:2" x14ac:dyDescent="0.25">
      <c r="B16" s="123"/>
    </row>
    <row r="17" spans="2:2" x14ac:dyDescent="0.25">
      <c r="B17" s="123"/>
    </row>
    <row r="18" spans="2:2" x14ac:dyDescent="0.25">
      <c r="B18" s="123"/>
    </row>
    <row r="19" spans="2:2" x14ac:dyDescent="0.25">
      <c r="B19" s="123"/>
    </row>
    <row r="20" spans="2:2" x14ac:dyDescent="0.25">
      <c r="B20" s="123"/>
    </row>
    <row r="21" spans="2:2" x14ac:dyDescent="0.25">
      <c r="B21" s="123"/>
    </row>
    <row r="22" spans="2:2" x14ac:dyDescent="0.25">
      <c r="B22" s="123"/>
    </row>
    <row r="23" spans="2:2" x14ac:dyDescent="0.25">
      <c r="B23" s="123"/>
    </row>
    <row r="24" spans="2:2" x14ac:dyDescent="0.25">
      <c r="B24" s="123"/>
    </row>
    <row r="25" spans="2:2" x14ac:dyDescent="0.25">
      <c r="B25" s="123"/>
    </row>
    <row r="26" spans="2:2" x14ac:dyDescent="0.25">
      <c r="B26" s="123"/>
    </row>
    <row r="27" spans="2:2" x14ac:dyDescent="0.25">
      <c r="B27" s="123"/>
    </row>
    <row r="28" spans="2:2" x14ac:dyDescent="0.25">
      <c r="B28" s="123"/>
    </row>
    <row r="29" spans="2:2" x14ac:dyDescent="0.25">
      <c r="B29" s="123"/>
    </row>
    <row r="30" spans="2:2" x14ac:dyDescent="0.25">
      <c r="B30" s="123"/>
    </row>
    <row r="31" spans="2:2" x14ac:dyDescent="0.25">
      <c r="B31" s="123"/>
    </row>
    <row r="32" spans="2:2" x14ac:dyDescent="0.25">
      <c r="B32" s="123"/>
    </row>
    <row r="33" spans="2:2" x14ac:dyDescent="0.25">
      <c r="B33" s="123"/>
    </row>
    <row r="34" spans="2:2" x14ac:dyDescent="0.25">
      <c r="B34" s="123"/>
    </row>
    <row r="35" spans="2:2" x14ac:dyDescent="0.25">
      <c r="B35" s="123"/>
    </row>
    <row r="36" spans="2:2" x14ac:dyDescent="0.25">
      <c r="B36" s="123"/>
    </row>
    <row r="37" spans="2:2" x14ac:dyDescent="0.25">
      <c r="B37" s="123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zoomScale="100" zoomScaleNormal="100">
      <selection activeCell="B11" sqref="B11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6743.575000000001</v>
      </c>
    </row>
    <row r="2" ht="16" customHeight="1" spans="1:5" x14ac:dyDescent="0.25">
      <c r="A2" s="376" t="s">
        <v>341</v>
      </c>
      <c r="B2" s="379">
        <v>5700</v>
      </c>
      <c r="C2" s="376"/>
      <c r="D2" s="36" t="s">
        <v>898</v>
      </c>
      <c r="E2" s="378"/>
    </row>
    <row r="3" ht="16" customHeight="1" spans="1:5" x14ac:dyDescent="0.25">
      <c r="A3" s="376" t="s">
        <v>899</v>
      </c>
      <c r="B3" s="379">
        <v>406.8</v>
      </c>
      <c r="C3" s="376"/>
      <c r="D3" s="36" t="s">
        <v>900</v>
      </c>
      <c r="E3" s="378">
        <f>E2-E1</f>
        <v>-6743.575000000001</v>
      </c>
    </row>
    <row r="4" spans="2:2" x14ac:dyDescent="0.25">
      <c r="B4" s="123">
        <v>5.13</v>
      </c>
    </row>
    <row r="5" spans="2:2" x14ac:dyDescent="0.25">
      <c r="B5" s="123">
        <f>20.83/2</f>
        <v>10.415</v>
      </c>
    </row>
    <row r="6" spans="1:2" x14ac:dyDescent="0.25">
      <c r="A6" s="376" t="s">
        <v>864</v>
      </c>
      <c r="B6" s="123">
        <v>50.02</v>
      </c>
    </row>
    <row r="7" spans="1:2" x14ac:dyDescent="0.25">
      <c r="A7" s="376" t="s">
        <v>956</v>
      </c>
      <c r="B7" s="123">
        <v>100</v>
      </c>
    </row>
    <row r="8" spans="1:2" x14ac:dyDescent="0.25">
      <c r="A8" s="376" t="s">
        <v>909</v>
      </c>
      <c r="B8" s="123">
        <v>16</v>
      </c>
    </row>
    <row r="9" spans="1:2" x14ac:dyDescent="0.25">
      <c r="A9" s="376" t="s">
        <v>887</v>
      </c>
      <c r="B9" s="123">
        <v>160</v>
      </c>
    </row>
    <row r="10" spans="1:2" x14ac:dyDescent="0.25">
      <c r="A10" s="376" t="s">
        <v>935</v>
      </c>
      <c r="B10" s="123">
        <v>280</v>
      </c>
    </row>
    <row r="11" spans="1:2" x14ac:dyDescent="0.25">
      <c r="A11" s="376" t="s">
        <v>864</v>
      </c>
      <c r="B11" s="123">
        <v>15.21</v>
      </c>
    </row>
    <row r="12" spans="2:2" x14ac:dyDescent="0.25">
      <c r="B12" s="123"/>
    </row>
    <row r="13" spans="2:2" x14ac:dyDescent="0.25">
      <c r="B13" s="123"/>
    </row>
    <row r="14" spans="2:2" x14ac:dyDescent="0.25">
      <c r="B14" s="123"/>
    </row>
    <row r="15" spans="2:2" x14ac:dyDescent="0.25">
      <c r="B15" s="123"/>
    </row>
    <row r="16" spans="2:2" x14ac:dyDescent="0.25">
      <c r="B16" s="123"/>
    </row>
    <row r="17" spans="2:2" x14ac:dyDescent="0.25">
      <c r="B17" s="123"/>
    </row>
    <row r="18" spans="2:2" x14ac:dyDescent="0.25">
      <c r="B18" s="123"/>
    </row>
    <row r="19" spans="2:2" x14ac:dyDescent="0.25">
      <c r="B19" s="123"/>
    </row>
    <row r="20" spans="2:2" x14ac:dyDescent="0.25">
      <c r="B20" s="123"/>
    </row>
    <row r="21" spans="2:2" x14ac:dyDescent="0.25">
      <c r="B21" s="123"/>
    </row>
    <row r="22" spans="2:2" x14ac:dyDescent="0.25">
      <c r="B22" s="123"/>
    </row>
    <row r="23" spans="2:2" x14ac:dyDescent="0.25">
      <c r="B23" s="123"/>
    </row>
    <row r="24" spans="2:2" x14ac:dyDescent="0.25">
      <c r="B24" s="123"/>
    </row>
    <row r="25" spans="2:2" x14ac:dyDescent="0.25">
      <c r="B25" s="123"/>
    </row>
    <row r="26" spans="2:2" x14ac:dyDescent="0.25">
      <c r="B26" s="123"/>
    </row>
    <row r="27" spans="2:2" x14ac:dyDescent="0.25">
      <c r="B27" s="123"/>
    </row>
    <row r="28" spans="2:2" x14ac:dyDescent="0.25">
      <c r="B28" s="123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 zoomScale="160" zoomScaleNormal="100">
      <selection activeCell="I8" sqref="I8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4187.38</v>
      </c>
    </row>
    <row r="2" ht="16" customHeight="1" spans="1:5" x14ac:dyDescent="0.25">
      <c r="A2" s="376" t="s">
        <v>341</v>
      </c>
      <c r="B2" s="379">
        <v>3500</v>
      </c>
      <c r="C2" s="376"/>
      <c r="D2" s="36" t="s">
        <v>898</v>
      </c>
      <c r="E2" s="133">
        <v>6394.29</v>
      </c>
    </row>
    <row r="3" ht="16" customHeight="1" spans="1:5" x14ac:dyDescent="0.25">
      <c r="A3" s="376" t="s">
        <v>899</v>
      </c>
      <c r="B3" s="379">
        <v>370.8</v>
      </c>
      <c r="C3" s="376"/>
      <c r="D3" s="36" t="s">
        <v>900</v>
      </c>
      <c r="E3" s="378">
        <f>E2-E1</f>
        <v>2206.91</v>
      </c>
    </row>
    <row r="4" spans="1:2" x14ac:dyDescent="0.25">
      <c r="A4" s="381" t="s">
        <v>765</v>
      </c>
      <c r="B4" s="123">
        <v>14</v>
      </c>
    </row>
    <row r="5" spans="1:2" x14ac:dyDescent="0.25">
      <c r="A5" s="381" t="s">
        <v>957</v>
      </c>
      <c r="B5" s="123">
        <v>49.99</v>
      </c>
    </row>
    <row r="6" spans="1:2" x14ac:dyDescent="0.25">
      <c r="A6" s="381" t="s">
        <v>42</v>
      </c>
      <c r="B6" s="123">
        <v>194.29</v>
      </c>
    </row>
    <row r="7" spans="1:2" x14ac:dyDescent="0.25">
      <c r="A7" s="381" t="s">
        <v>931</v>
      </c>
      <c r="B7" s="123">
        <v>12.5</v>
      </c>
    </row>
    <row r="8" spans="1:2" x14ac:dyDescent="0.25">
      <c r="A8" s="381" t="s">
        <v>864</v>
      </c>
      <c r="B8" s="123">
        <f>41.56/2</f>
        <v>20.78</v>
      </c>
    </row>
    <row r="9" spans="1:2" x14ac:dyDescent="0.25">
      <c r="A9" s="381" t="s">
        <v>864</v>
      </c>
      <c r="B9" s="123">
        <v>25.02</v>
      </c>
    </row>
    <row r="10" spans="2:2" x14ac:dyDescent="0.25">
      <c r="B10" s="123"/>
    </row>
    <row r="11" spans="2:8" x14ac:dyDescent="0.25">
      <c r="B11" s="123"/>
      <c r="C11" s="123"/>
      <c r="D11" s="123"/>
      <c r="E11" s="123"/>
      <c r="F11" s="123"/>
      <c r="G11" s="123"/>
      <c r="H11" s="123"/>
    </row>
    <row r="12" spans="2:2" x14ac:dyDescent="0.25">
      <c r="B12" s="123"/>
    </row>
    <row r="13" spans="2:2" x14ac:dyDescent="0.25">
      <c r="B13" s="123"/>
    </row>
    <row r="14" spans="2:2" x14ac:dyDescent="0.25">
      <c r="B14" s="123"/>
    </row>
    <row r="15" spans="2:2" x14ac:dyDescent="0.25">
      <c r="B15" s="123"/>
    </row>
    <row r="16" spans="2:2" x14ac:dyDescent="0.25">
      <c r="B16" s="123"/>
    </row>
    <row r="17" spans="2:2" x14ac:dyDescent="0.25">
      <c r="B17" s="123"/>
    </row>
    <row r="18" spans="2:2" x14ac:dyDescent="0.25">
      <c r="B18" s="123"/>
    </row>
    <row r="19" spans="2:2" x14ac:dyDescent="0.25">
      <c r="B19" s="123"/>
    </row>
    <row r="20" spans="2:2" x14ac:dyDescent="0.25">
      <c r="B20" s="123"/>
    </row>
    <row r="21" spans="2:2" x14ac:dyDescent="0.25">
      <c r="B21" s="123"/>
    </row>
    <row r="22" spans="2:2" x14ac:dyDescent="0.25">
      <c r="B22" s="123"/>
    </row>
    <row r="23" spans="2:2" x14ac:dyDescent="0.25">
      <c r="B23" s="123"/>
    </row>
    <row r="24" spans="2:2" x14ac:dyDescent="0.25">
      <c r="B24" s="123"/>
    </row>
    <row r="25" spans="2:2" x14ac:dyDescent="0.25">
      <c r="B25" s="123"/>
    </row>
    <row r="26" spans="2:2" x14ac:dyDescent="0.25">
      <c r="B26" s="123"/>
    </row>
    <row r="27" spans="2:2" x14ac:dyDescent="0.25">
      <c r="B27" s="123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workbookViewId="0" zoomScale="156" zoomScaleNormal="100">
      <selection activeCell="A11" sqref="A11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89">
        <f>SUM(B:B)</f>
        <v>7672.2</v>
      </c>
    </row>
    <row r="2" ht="16" customHeight="1" spans="1:5" x14ac:dyDescent="0.25">
      <c r="A2" s="376" t="s">
        <v>341</v>
      </c>
      <c r="B2" s="379">
        <v>6700</v>
      </c>
      <c r="C2" s="376"/>
      <c r="D2" s="36" t="s">
        <v>898</v>
      </c>
      <c r="E2" s="389">
        <v>9795</v>
      </c>
    </row>
    <row r="3" ht="16" customHeight="1" spans="1:5" x14ac:dyDescent="0.25">
      <c r="A3" s="376" t="s">
        <v>899</v>
      </c>
      <c r="B3" s="379">
        <v>346.8</v>
      </c>
      <c r="C3" s="376"/>
      <c r="D3" s="36" t="s">
        <v>900</v>
      </c>
      <c r="E3" s="389">
        <f>E2-E1</f>
        <v>2122.8</v>
      </c>
    </row>
    <row r="4" spans="1:5" x14ac:dyDescent="0.25">
      <c r="A4" s="376" t="s">
        <v>864</v>
      </c>
      <c r="B4" s="123">
        <f>25.02/2</f>
        <v>12.51</v>
      </c>
      <c r="E4" s="382"/>
    </row>
    <row r="5" spans="1:2" x14ac:dyDescent="0.25">
      <c r="A5" s="376" t="s">
        <v>864</v>
      </c>
      <c r="B5" s="123">
        <v>8.12</v>
      </c>
    </row>
    <row r="6" spans="1:2" x14ac:dyDescent="0.25">
      <c r="A6" s="376" t="s">
        <v>765</v>
      </c>
      <c r="B6" s="123">
        <v>18</v>
      </c>
    </row>
    <row r="7" spans="1:2" x14ac:dyDescent="0.25">
      <c r="A7" s="376" t="s">
        <v>864</v>
      </c>
      <c r="B7" s="123">
        <v>8.04</v>
      </c>
    </row>
    <row r="8" spans="1:2" x14ac:dyDescent="0.25">
      <c r="A8" s="376" t="s">
        <v>42</v>
      </c>
      <c r="B8" s="123">
        <v>52.45</v>
      </c>
    </row>
    <row r="9" spans="1:2" x14ac:dyDescent="0.25">
      <c r="A9" t="s">
        <v>920</v>
      </c>
      <c r="B9" s="123">
        <v>120</v>
      </c>
    </row>
    <row r="10" spans="1:2" x14ac:dyDescent="0.25">
      <c r="A10" s="376" t="s">
        <v>958</v>
      </c>
      <c r="B10" s="123">
        <v>406.28</v>
      </c>
    </row>
    <row r="11" spans="2:2" x14ac:dyDescent="0.25">
      <c r="B11" s="123"/>
    </row>
    <row r="12" spans="2:2" x14ac:dyDescent="0.25">
      <c r="B12" s="123"/>
    </row>
    <row r="13" spans="2:2" x14ac:dyDescent="0.25">
      <c r="B13" s="123"/>
    </row>
    <row r="14" spans="2:2" x14ac:dyDescent="0.25">
      <c r="B14" s="123"/>
    </row>
    <row r="15" spans="2:2" x14ac:dyDescent="0.25">
      <c r="B15" s="123"/>
    </row>
    <row r="16" spans="2:2" x14ac:dyDescent="0.25">
      <c r="B16" s="123"/>
    </row>
    <row r="17" spans="2:2" x14ac:dyDescent="0.25">
      <c r="B17" s="123"/>
    </row>
    <row r="18" spans="2:2" x14ac:dyDescent="0.25">
      <c r="B18" s="123"/>
    </row>
    <row r="19" spans="2:2" x14ac:dyDescent="0.25">
      <c r="B19" s="123"/>
    </row>
    <row r="20" spans="2:2" x14ac:dyDescent="0.25">
      <c r="B20" s="123"/>
    </row>
    <row r="21" spans="2:2" x14ac:dyDescent="0.25">
      <c r="B21" s="123"/>
    </row>
    <row r="22" spans="2:2" x14ac:dyDescent="0.25">
      <c r="B22" s="123"/>
    </row>
    <row r="23" spans="2:2" x14ac:dyDescent="0.25">
      <c r="B23" s="123"/>
    </row>
    <row r="24" spans="2:2" x14ac:dyDescent="0.25">
      <c r="B24" s="123"/>
    </row>
    <row r="25" spans="2:2" x14ac:dyDescent="0.25">
      <c r="B25" s="123"/>
    </row>
    <row r="26" spans="2:2" x14ac:dyDescent="0.25">
      <c r="B26" s="123"/>
    </row>
    <row r="27" spans="2:2" x14ac:dyDescent="0.25">
      <c r="B27" s="123"/>
    </row>
    <row r="28" spans="2:2" x14ac:dyDescent="0.25">
      <c r="B28" s="123"/>
    </row>
    <row r="29" spans="2:2" x14ac:dyDescent="0.25">
      <c r="B29" s="123"/>
    </row>
    <row r="30" spans="2:2" x14ac:dyDescent="0.25">
      <c r="B30" s="123"/>
    </row>
    <row r="31" spans="2:2" x14ac:dyDescent="0.25">
      <c r="B31" s="123"/>
    </row>
    <row r="32" spans="2:2" x14ac:dyDescent="0.25">
      <c r="B32" s="123"/>
    </row>
    <row r="33" spans="2:2" x14ac:dyDescent="0.25">
      <c r="B33" s="123"/>
    </row>
    <row r="34" spans="2:2" x14ac:dyDescent="0.25">
      <c r="B34" s="123"/>
    </row>
    <row r="35" spans="2:2" x14ac:dyDescent="0.25">
      <c r="B35" s="123"/>
    </row>
    <row r="36" spans="2:2" x14ac:dyDescent="0.25">
      <c r="B36" s="123"/>
    </row>
    <row r="37" spans="2:2" x14ac:dyDescent="0.25">
      <c r="B37" s="123"/>
    </row>
    <row r="38" spans="2:2" x14ac:dyDescent="0.25">
      <c r="B38" s="123"/>
    </row>
    <row r="39" spans="2:2" x14ac:dyDescent="0.25">
      <c r="B39" s="123"/>
    </row>
    <row r="40" spans="2:2" x14ac:dyDescent="0.25">
      <c r="B40" s="123"/>
    </row>
    <row r="41" spans="2:2" x14ac:dyDescent="0.25">
      <c r="B41" s="123"/>
    </row>
    <row r="42" spans="2:2" x14ac:dyDescent="0.25">
      <c r="B42" s="123"/>
    </row>
    <row r="43" spans="2:2" x14ac:dyDescent="0.25">
      <c r="B43" s="123"/>
    </row>
    <row r="44" spans="2:2" x14ac:dyDescent="0.25">
      <c r="B44" s="123"/>
    </row>
    <row r="45" spans="2:2" x14ac:dyDescent="0.25">
      <c r="B45" s="123"/>
    </row>
    <row r="46" spans="2:2" x14ac:dyDescent="0.25">
      <c r="B46" s="123"/>
    </row>
    <row r="47" spans="2:2" x14ac:dyDescent="0.25">
      <c r="B47" s="123"/>
    </row>
    <row r="48" spans="2:2" x14ac:dyDescent="0.25">
      <c r="B48" s="123"/>
    </row>
    <row r="49" spans="2:2" x14ac:dyDescent="0.25">
      <c r="B49" s="123"/>
    </row>
    <row r="50" spans="2:2" x14ac:dyDescent="0.25">
      <c r="B50" s="123"/>
    </row>
    <row r="51" spans="2:2" x14ac:dyDescent="0.25">
      <c r="B51" s="123"/>
    </row>
    <row r="52" spans="2:2" x14ac:dyDescent="0.25">
      <c r="B52" s="123"/>
    </row>
    <row r="53" spans="2:2" x14ac:dyDescent="0.25">
      <c r="B53" s="123"/>
    </row>
    <row r="54" spans="2:2" x14ac:dyDescent="0.25">
      <c r="B54" s="123"/>
    </row>
    <row r="55" spans="2:2" x14ac:dyDescent="0.25">
      <c r="B55" s="123"/>
    </row>
    <row r="56" spans="2:2" x14ac:dyDescent="0.25">
      <c r="B56" s="123"/>
    </row>
    <row r="57" spans="2:2" x14ac:dyDescent="0.25">
      <c r="B57" s="123"/>
    </row>
    <row r="58" spans="2:2" x14ac:dyDescent="0.25">
      <c r="B58" s="123"/>
    </row>
    <row r="59" spans="2:2" x14ac:dyDescent="0.25">
      <c r="B59" s="123"/>
    </row>
    <row r="60" spans="2:2" x14ac:dyDescent="0.25">
      <c r="B60" s="123"/>
    </row>
    <row r="61" spans="2:2" x14ac:dyDescent="0.25">
      <c r="B61" s="123"/>
    </row>
    <row r="62" spans="2:2" x14ac:dyDescent="0.25">
      <c r="B62" s="123"/>
    </row>
    <row r="63" spans="2:2" x14ac:dyDescent="0.25">
      <c r="B63" s="123"/>
    </row>
    <row r="64" spans="2:2" x14ac:dyDescent="0.25">
      <c r="B64" s="123"/>
    </row>
    <row r="65" spans="2:2" x14ac:dyDescent="0.25">
      <c r="B65" s="123"/>
    </row>
    <row r="66" spans="2:2" x14ac:dyDescent="0.25">
      <c r="B66" s="123"/>
    </row>
    <row r="67" spans="2:2" x14ac:dyDescent="0.25">
      <c r="B67" s="123"/>
    </row>
    <row r="68" spans="2:2" x14ac:dyDescent="0.25">
      <c r="B68" s="123"/>
    </row>
    <row r="69" spans="2:2" x14ac:dyDescent="0.25">
      <c r="B69" s="123"/>
    </row>
    <row r="70" spans="2:2" x14ac:dyDescent="0.25">
      <c r="B70" s="123"/>
    </row>
    <row r="71" spans="2:2" x14ac:dyDescent="0.25">
      <c r="B71" s="123"/>
    </row>
    <row r="72" spans="2:2" x14ac:dyDescent="0.25">
      <c r="B72" s="123"/>
    </row>
    <row r="73" spans="2:2" x14ac:dyDescent="0.25">
      <c r="B73" s="123"/>
    </row>
    <row r="74" spans="2:2" x14ac:dyDescent="0.25">
      <c r="B74" s="123"/>
    </row>
    <row r="75" spans="2:2" x14ac:dyDescent="0.25">
      <c r="B75" s="123"/>
    </row>
    <row r="76" spans="2:2" x14ac:dyDescent="0.25">
      <c r="B76" s="123"/>
    </row>
    <row r="77" spans="2:2" x14ac:dyDescent="0.25">
      <c r="B77" s="123"/>
    </row>
    <row r="78" spans="2:2" x14ac:dyDescent="0.25">
      <c r="B78" s="123"/>
    </row>
    <row r="79" spans="2:2" x14ac:dyDescent="0.25">
      <c r="B79" s="123"/>
    </row>
    <row r="80" spans="2:2" x14ac:dyDescent="0.25">
      <c r="B80" s="123"/>
    </row>
    <row r="81" spans="2:2" x14ac:dyDescent="0.25">
      <c r="B81" s="123"/>
    </row>
    <row r="82" spans="2:2" x14ac:dyDescent="0.25">
      <c r="B82" s="123"/>
    </row>
    <row r="83" spans="2:2" x14ac:dyDescent="0.25">
      <c r="B83" s="123"/>
    </row>
    <row r="84" spans="2:2" x14ac:dyDescent="0.25">
      <c r="B84" s="123"/>
    </row>
    <row r="85" spans="2:2" x14ac:dyDescent="0.25">
      <c r="B85" s="123"/>
    </row>
    <row r="86" spans="2:2" x14ac:dyDescent="0.25">
      <c r="B86" s="123"/>
    </row>
    <row r="87" spans="2:2" x14ac:dyDescent="0.25">
      <c r="B87" s="123"/>
    </row>
    <row r="88" spans="2:2" x14ac:dyDescent="0.25">
      <c r="B88" s="123"/>
    </row>
    <row r="89" spans="2:2" x14ac:dyDescent="0.25">
      <c r="B89" s="123"/>
    </row>
    <row r="90" spans="2:2" x14ac:dyDescent="0.25">
      <c r="B90" s="123"/>
    </row>
    <row r="91" spans="2:2" x14ac:dyDescent="0.25">
      <c r="B91" s="123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zoomScale="100" zoomScaleNormal="100">
      <selection activeCell="F3" sqref="F3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5947.610000000001</v>
      </c>
    </row>
    <row r="2" ht="16" customHeight="1" spans="1:5" x14ac:dyDescent="0.25">
      <c r="A2" s="376" t="s">
        <v>341</v>
      </c>
      <c r="B2" s="379">
        <v>4925</v>
      </c>
      <c r="C2" s="376"/>
      <c r="D2" s="36" t="s">
        <v>898</v>
      </c>
      <c r="E2" s="378">
        <v>7995</v>
      </c>
    </row>
    <row r="3" ht="16" customHeight="1" spans="1:5" x14ac:dyDescent="0.25">
      <c r="A3" s="376" t="s">
        <v>899</v>
      </c>
      <c r="B3" s="379">
        <v>406.8</v>
      </c>
      <c r="C3" s="376"/>
      <c r="D3" s="36" t="s">
        <v>900</v>
      </c>
      <c r="E3" s="378">
        <f>E2-E1</f>
        <v>2047.3899999999994</v>
      </c>
    </row>
    <row r="4" spans="1:2" x14ac:dyDescent="0.25">
      <c r="A4" s="376" t="s">
        <v>887</v>
      </c>
      <c r="B4" s="123">
        <v>250</v>
      </c>
    </row>
    <row r="5" spans="1:2" x14ac:dyDescent="0.25">
      <c r="A5" s="376" t="s">
        <v>931</v>
      </c>
      <c r="B5" s="123">
        <v>12.5</v>
      </c>
    </row>
    <row r="6" spans="1:2" x14ac:dyDescent="0.25">
      <c r="A6" s="376" t="s">
        <v>765</v>
      </c>
      <c r="B6" s="123">
        <v>16</v>
      </c>
    </row>
    <row r="7" spans="1:2" x14ac:dyDescent="0.25">
      <c r="A7" s="376" t="s">
        <v>959</v>
      </c>
      <c r="B7" s="123">
        <v>250</v>
      </c>
    </row>
    <row r="8" spans="1:2" x14ac:dyDescent="0.25">
      <c r="A8" s="376" t="s">
        <v>864</v>
      </c>
      <c r="B8" s="123">
        <v>9.59</v>
      </c>
    </row>
    <row r="9" spans="1:2" x14ac:dyDescent="0.25">
      <c r="A9" s="376" t="s">
        <v>42</v>
      </c>
      <c r="B9" s="123">
        <v>77.72</v>
      </c>
    </row>
    <row r="10" spans="2:2" x14ac:dyDescent="0.25">
      <c r="B10" s="123"/>
    </row>
    <row r="11" spans="2:2" x14ac:dyDescent="0.25">
      <c r="B11" s="123"/>
    </row>
    <row r="12" spans="2:2" x14ac:dyDescent="0.25">
      <c r="B12" s="123"/>
    </row>
    <row r="13" spans="2:2" x14ac:dyDescent="0.25">
      <c r="B13" s="123"/>
    </row>
    <row r="14" spans="2:2" x14ac:dyDescent="0.25">
      <c r="B14" s="123"/>
    </row>
    <row r="15" spans="2:2" x14ac:dyDescent="0.25">
      <c r="B15" s="123"/>
    </row>
    <row r="16" spans="2:2" x14ac:dyDescent="0.25">
      <c r="B16" s="123"/>
    </row>
    <row r="17" spans="2:2" x14ac:dyDescent="0.25">
      <c r="B17" s="123"/>
    </row>
    <row r="18" spans="2:2" x14ac:dyDescent="0.25">
      <c r="B18" s="123"/>
    </row>
    <row r="19" spans="2:2" x14ac:dyDescent="0.25">
      <c r="B19" s="123"/>
    </row>
    <row r="20" spans="2:2" x14ac:dyDescent="0.25">
      <c r="B20" s="123"/>
    </row>
    <row r="21" spans="2:2" x14ac:dyDescent="0.25">
      <c r="B21" s="123"/>
    </row>
    <row r="22" spans="2:2" x14ac:dyDescent="0.25">
      <c r="B22" s="123"/>
    </row>
    <row r="23" spans="2:2" x14ac:dyDescent="0.25">
      <c r="B23" s="123"/>
    </row>
    <row r="24" spans="2:2" x14ac:dyDescent="0.25">
      <c r="B24" s="123"/>
    </row>
    <row r="25" spans="2:2" x14ac:dyDescent="0.25">
      <c r="B25" s="123"/>
    </row>
    <row r="26" spans="2:2" x14ac:dyDescent="0.25">
      <c r="B26" s="123"/>
    </row>
    <row r="27" spans="2:2" x14ac:dyDescent="0.25">
      <c r="B27" s="123"/>
    </row>
    <row r="28" spans="2:2" x14ac:dyDescent="0.25">
      <c r="B28" s="123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 zoomScale="100" zoomScaleNormal="100">
      <selection activeCell="A8" sqref="A8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SUM(B$3:B$1048576)</f>
        <v>122.46000000000001</v>
      </c>
    </row>
    <row r="2" ht="16" customHeight="1" spans="1:5" x14ac:dyDescent="0.25">
      <c r="A2" s="376" t="s">
        <v>340</v>
      </c>
      <c r="B2" s="379">
        <v>4000</v>
      </c>
      <c r="C2" s="376"/>
      <c r="D2" s="36" t="s">
        <v>898</v>
      </c>
      <c r="E2" s="378">
        <v>6495</v>
      </c>
    </row>
    <row r="3" ht="16" customHeight="1" spans="1:5" x14ac:dyDescent="0.25">
      <c r="A3" s="376" t="s">
        <v>765</v>
      </c>
      <c r="B3" s="379">
        <v>8</v>
      </c>
      <c r="C3" s="376"/>
      <c r="D3" s="36" t="s">
        <v>900</v>
      </c>
      <c r="E3" s="378">
        <f>E2-E1</f>
        <v>6372.54</v>
      </c>
    </row>
    <row r="4" spans="1:2" x14ac:dyDescent="0.25">
      <c r="A4" s="376" t="s">
        <v>960</v>
      </c>
      <c r="B4" s="123">
        <v>19</v>
      </c>
    </row>
    <row r="5" spans="1:2" x14ac:dyDescent="0.25">
      <c r="A5" s="376" t="s">
        <v>864</v>
      </c>
      <c r="B5" s="123">
        <v>8.28</v>
      </c>
    </row>
    <row r="6" spans="1:2" x14ac:dyDescent="0.25">
      <c r="A6" s="376" t="s">
        <v>901</v>
      </c>
      <c r="B6" s="123">
        <v>9.46</v>
      </c>
    </row>
    <row r="7" spans="1:2" x14ac:dyDescent="0.25">
      <c r="A7" s="376" t="s">
        <v>917</v>
      </c>
      <c r="B7" s="123">
        <v>77.72</v>
      </c>
    </row>
    <row r="8" spans="2:2" x14ac:dyDescent="0.25">
      <c r="B8" s="123"/>
    </row>
    <row r="9" spans="2:2" x14ac:dyDescent="0.25">
      <c r="B9" s="123"/>
    </row>
    <row r="10" spans="2:2" x14ac:dyDescent="0.25">
      <c r="B10" s="123"/>
    </row>
    <row r="11" spans="2:2" x14ac:dyDescent="0.25">
      <c r="B11" s="123"/>
    </row>
    <row r="12" spans="2:2" x14ac:dyDescent="0.25">
      <c r="B12" s="123"/>
    </row>
    <row r="13" spans="2:2" x14ac:dyDescent="0.25">
      <c r="B13" s="123"/>
    </row>
    <row r="14" spans="2:2" x14ac:dyDescent="0.25">
      <c r="B14" s="123"/>
    </row>
    <row r="15" spans="2:2" x14ac:dyDescent="0.25">
      <c r="B15" s="123"/>
    </row>
    <row r="16" spans="2:2" x14ac:dyDescent="0.25">
      <c r="B16" s="123"/>
    </row>
    <row r="17" spans="2:2" x14ac:dyDescent="0.25">
      <c r="B17" s="123"/>
    </row>
    <row r="18" spans="2:2" x14ac:dyDescent="0.25">
      <c r="B18" s="123"/>
    </row>
    <row r="19" spans="2:2" x14ac:dyDescent="0.25">
      <c r="B19" s="123"/>
    </row>
    <row r="20" spans="2:2" x14ac:dyDescent="0.25">
      <c r="B20" s="123"/>
    </row>
    <row r="21" spans="2:2" x14ac:dyDescent="0.25">
      <c r="B21" s="123"/>
    </row>
    <row r="22" spans="2:2" x14ac:dyDescent="0.25">
      <c r="B22" s="123"/>
    </row>
    <row r="23" spans="2:2" x14ac:dyDescent="0.25">
      <c r="B23" s="123"/>
    </row>
    <row r="24" spans="2:2" x14ac:dyDescent="0.25">
      <c r="B24" s="123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 zoomScale="100" zoomScaleNormal="100">
      <selection activeCell="C9" sqref="C9"/>
    </sheetView>
  </sheetViews>
  <sheetFormatPr defaultRowHeight="15" outlineLevelRow="0" outlineLevelCol="0" x14ac:dyDescent="0" defaultColWidth="11.5"/>
  <cols>
    <col min="1" max="1" width="16.8320312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v>551.27</v>
      </c>
    </row>
    <row r="2" ht="16" customHeight="1" spans="1:5" x14ac:dyDescent="0.25">
      <c r="A2" s="376" t="s">
        <v>340</v>
      </c>
      <c r="B2" s="379">
        <v>1500</v>
      </c>
      <c r="C2" s="376"/>
      <c r="D2" s="36" t="s">
        <v>898</v>
      </c>
      <c r="E2" s="378">
        <v>2900</v>
      </c>
    </row>
    <row r="3" spans="1:5" x14ac:dyDescent="0.25">
      <c r="A3" s="376" t="s">
        <v>961</v>
      </c>
      <c r="B3" s="123">
        <v>37.99</v>
      </c>
      <c r="D3" t="s">
        <v>343</v>
      </c>
      <c r="E3" s="382">
        <f>E2-E1</f>
        <v>2348.73</v>
      </c>
    </row>
    <row r="4" spans="1:2" x14ac:dyDescent="0.25">
      <c r="A4" s="376" t="s">
        <v>765</v>
      </c>
      <c r="B4" s="123">
        <v>10</v>
      </c>
    </row>
    <row r="5" spans="1:2" x14ac:dyDescent="0.25">
      <c r="A5" s="376" t="s">
        <v>887</v>
      </c>
      <c r="B5" s="123">
        <v>200</v>
      </c>
    </row>
    <row r="6" spans="1:2" x14ac:dyDescent="0.25">
      <c r="A6" s="376" t="s">
        <v>962</v>
      </c>
      <c r="B6" s="123">
        <v>5.56</v>
      </c>
    </row>
    <row r="7" spans="1:2" x14ac:dyDescent="0.25">
      <c r="A7" s="376" t="s">
        <v>42</v>
      </c>
      <c r="B7" s="123">
        <v>77.72</v>
      </c>
    </row>
    <row r="8" spans="1:2" x14ac:dyDescent="0.25">
      <c r="A8" s="376" t="s">
        <v>920</v>
      </c>
      <c r="B8" s="123">
        <v>220</v>
      </c>
    </row>
    <row r="9" spans="1:2" x14ac:dyDescent="0.25">
      <c r="A9" s="376" t="s">
        <v>963</v>
      </c>
      <c r="B9" s="123">
        <v>230</v>
      </c>
    </row>
    <row r="10" spans="2:2" x14ac:dyDescent="0.25">
      <c r="B10" s="123"/>
    </row>
    <row r="11" spans="2:2" x14ac:dyDescent="0.25">
      <c r="B11" s="123"/>
    </row>
    <row r="12" spans="2:2" x14ac:dyDescent="0.25">
      <c r="B12" s="123"/>
    </row>
    <row r="13" spans="2:2" x14ac:dyDescent="0.25">
      <c r="B13" s="123"/>
    </row>
    <row r="14" spans="2:2" x14ac:dyDescent="0.25">
      <c r="B14" s="123"/>
    </row>
    <row r="15" spans="2:2" x14ac:dyDescent="0.25">
      <c r="B15" s="123"/>
    </row>
    <row r="16" spans="2:2" x14ac:dyDescent="0.25">
      <c r="B16" s="123"/>
    </row>
    <row r="17" spans="2:2" x14ac:dyDescent="0.25">
      <c r="B17" s="123"/>
    </row>
    <row r="18" spans="2:2" x14ac:dyDescent="0.25">
      <c r="B18" s="123"/>
    </row>
    <row r="19" spans="2:2" x14ac:dyDescent="0.25">
      <c r="B19" s="123"/>
    </row>
    <row r="20" spans="2:2" x14ac:dyDescent="0.25">
      <c r="B20" s="123"/>
    </row>
    <row r="21" spans="2:2" x14ac:dyDescent="0.25">
      <c r="B21" s="123"/>
    </row>
    <row r="22" spans="2:2" x14ac:dyDescent="0.25">
      <c r="B22" s="123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 zoomScale="100" zoomScaleNormal="100">
      <selection activeCell="F2" sqref="F2"/>
    </sheetView>
  </sheetViews>
  <sheetFormatPr defaultRowHeight="15" outlineLevelRow="0" outlineLevelCol="0" x14ac:dyDescent="0" defaultColWidth="11.5"/>
  <cols>
    <col min="1" max="1" width="12.164062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6686.68</v>
      </c>
    </row>
    <row r="2" ht="16" customHeight="1" spans="1:5" x14ac:dyDescent="0.25">
      <c r="A2" s="376" t="s">
        <v>964</v>
      </c>
      <c r="B2" s="379">
        <v>3850</v>
      </c>
      <c r="C2" s="376"/>
      <c r="D2" s="36" t="s">
        <v>898</v>
      </c>
      <c r="E2" s="378"/>
    </row>
    <row r="3" ht="16" customHeight="1" spans="1:5" x14ac:dyDescent="0.25">
      <c r="A3" s="376" t="s">
        <v>899</v>
      </c>
      <c r="B3" s="379">
        <v>322.8</v>
      </c>
      <c r="C3" s="376"/>
      <c r="D3" s="36" t="s">
        <v>900</v>
      </c>
      <c r="E3" s="378">
        <f>E2-E1</f>
        <v>-6686.68</v>
      </c>
    </row>
    <row r="4" spans="1:2" x14ac:dyDescent="0.25">
      <c r="A4" s="376" t="s">
        <v>965</v>
      </c>
      <c r="B4" s="123">
        <v>320</v>
      </c>
    </row>
    <row r="5" spans="1:2" x14ac:dyDescent="0.25">
      <c r="A5" s="376" t="s">
        <v>901</v>
      </c>
      <c r="B5" s="123">
        <v>5</v>
      </c>
    </row>
    <row r="6" spans="1:2" x14ac:dyDescent="0.25">
      <c r="A6" t="s">
        <v>887</v>
      </c>
      <c r="B6" s="123">
        <v>250</v>
      </c>
    </row>
    <row r="7" spans="1:2" x14ac:dyDescent="0.25">
      <c r="A7" s="376" t="s">
        <v>901</v>
      </c>
      <c r="B7" s="123">
        <v>9.96</v>
      </c>
    </row>
    <row r="8" spans="1:2" x14ac:dyDescent="0.25">
      <c r="A8" s="376" t="s">
        <v>867</v>
      </c>
      <c r="B8" s="123">
        <v>240</v>
      </c>
    </row>
    <row r="9" spans="1:2" x14ac:dyDescent="0.25">
      <c r="A9" s="376" t="s">
        <v>765</v>
      </c>
      <c r="B9" s="123">
        <v>8</v>
      </c>
    </row>
    <row r="10" spans="1:2" x14ac:dyDescent="0.25">
      <c r="A10" s="376" t="s">
        <v>901</v>
      </c>
      <c r="B10" s="123">
        <v>4.99</v>
      </c>
    </row>
    <row r="11" spans="1:2" x14ac:dyDescent="0.25">
      <c r="A11" s="376" t="s">
        <v>908</v>
      </c>
      <c r="B11" s="123">
        <v>1.5</v>
      </c>
    </row>
    <row r="12" spans="1:2" x14ac:dyDescent="0.25">
      <c r="A12" s="376" t="s">
        <v>966</v>
      </c>
      <c r="B12" s="123">
        <v>151.2</v>
      </c>
    </row>
    <row r="13" spans="1:2" x14ac:dyDescent="0.25">
      <c r="A13" t="s">
        <v>967</v>
      </c>
      <c r="B13" s="123">
        <v>623.23</v>
      </c>
    </row>
    <row r="14" spans="2:2" x14ac:dyDescent="0.25">
      <c r="B14" s="123">
        <v>900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zoomScale="100" zoomScaleNormal="100">
      <selection activeCell="E16" sqref="E16"/>
    </sheetView>
  </sheetViews>
  <sheetFormatPr defaultRowHeight="15" outlineLevelRow="0" outlineLevelCol="0" x14ac:dyDescent="0" defaultColWidth="11.5"/>
  <cols>
    <col min="3" max="3" width="12.664062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1328.74</v>
      </c>
    </row>
    <row r="2" ht="16" customHeight="1" spans="1:5" x14ac:dyDescent="0.25">
      <c r="A2" s="376" t="s">
        <v>964</v>
      </c>
      <c r="B2" s="390">
        <v>850</v>
      </c>
      <c r="C2" s="376"/>
      <c r="D2" s="36" t="s">
        <v>898</v>
      </c>
      <c r="E2" s="378">
        <v>2000</v>
      </c>
    </row>
    <row r="3" ht="16" customHeight="1" spans="1:5" x14ac:dyDescent="0.25">
      <c r="A3" s="376" t="s">
        <v>899</v>
      </c>
      <c r="B3" s="379">
        <v>370.8</v>
      </c>
      <c r="C3" s="376"/>
      <c r="D3" s="36" t="s">
        <v>900</v>
      </c>
      <c r="E3" s="378">
        <f>E2-E1</f>
        <v>671.26</v>
      </c>
    </row>
    <row r="4" spans="1:3" x14ac:dyDescent="0.25">
      <c r="A4" s="376" t="s">
        <v>42</v>
      </c>
      <c r="B4">
        <v>107.94</v>
      </c>
      <c r="C4" t="s">
        <v>968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zoomScale="100" zoomScaleNormal="100">
      <selection activeCell="B16" sqref="B16"/>
    </sheetView>
  </sheetViews>
  <sheetFormatPr defaultRowHeight="15" outlineLevelRow="0" outlineLevelCol="0" x14ac:dyDescent="0" defaultColWidth="11.5"/>
  <cols>
    <col min="1" max="1" width="12.164062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6388.240000000001</v>
      </c>
    </row>
    <row r="2" ht="16" customHeight="1" spans="1:5" x14ac:dyDescent="0.25">
      <c r="A2" s="376" t="s">
        <v>964</v>
      </c>
      <c r="B2" s="390">
        <v>5300</v>
      </c>
      <c r="C2" s="376"/>
      <c r="D2" s="36" t="s">
        <v>898</v>
      </c>
      <c r="E2" s="378"/>
    </row>
    <row r="3" ht="16" customHeight="1" spans="1:5" x14ac:dyDescent="0.25">
      <c r="A3" s="376" t="s">
        <v>899</v>
      </c>
      <c r="B3" s="379">
        <v>406.8</v>
      </c>
      <c r="C3" s="376"/>
      <c r="D3" s="36" t="s">
        <v>900</v>
      </c>
      <c r="E3" s="378">
        <f>E2-E1</f>
        <v>-6388.240000000001</v>
      </c>
    </row>
    <row r="4" spans="1:2" x14ac:dyDescent="0.25">
      <c r="A4" s="376" t="s">
        <v>864</v>
      </c>
      <c r="B4" s="123">
        <v>25.01</v>
      </c>
    </row>
    <row r="5" spans="1:2" x14ac:dyDescent="0.25">
      <c r="A5" s="376" t="s">
        <v>559</v>
      </c>
      <c r="B5" s="123">
        <f>(20.09+22.59)/2</f>
        <v>21.34</v>
      </c>
    </row>
    <row r="6" spans="1:2" x14ac:dyDescent="0.25">
      <c r="A6" s="376" t="s">
        <v>560</v>
      </c>
      <c r="B6" s="123">
        <f>7.9/2</f>
        <v>3.95</v>
      </c>
    </row>
    <row r="7" spans="1:2" x14ac:dyDescent="0.25">
      <c r="A7" s="376" t="s">
        <v>572</v>
      </c>
      <c r="B7" s="123">
        <v>5.55</v>
      </c>
    </row>
    <row r="8" spans="1:2" x14ac:dyDescent="0.25">
      <c r="A8" s="376" t="s">
        <v>887</v>
      </c>
      <c r="B8" s="123">
        <v>100</v>
      </c>
    </row>
    <row r="9" spans="1:2" x14ac:dyDescent="0.25">
      <c r="A9" s="376" t="s">
        <v>864</v>
      </c>
      <c r="B9" s="123">
        <v>9.99</v>
      </c>
    </row>
    <row r="10" spans="1:2" x14ac:dyDescent="0.25">
      <c r="A10" s="376" t="s">
        <v>969</v>
      </c>
      <c r="B10" s="123">
        <v>5.39</v>
      </c>
    </row>
    <row r="11" spans="1:2" x14ac:dyDescent="0.25">
      <c r="A11" s="381" t="s">
        <v>970</v>
      </c>
      <c r="B11" s="123">
        <v>350</v>
      </c>
    </row>
    <row r="12" spans="1:2" x14ac:dyDescent="0.25">
      <c r="A12" s="381" t="s">
        <v>901</v>
      </c>
      <c r="B12" s="123">
        <v>10.27</v>
      </c>
    </row>
    <row r="13" spans="1:2" x14ac:dyDescent="0.25">
      <c r="A13" s="376" t="s">
        <v>971</v>
      </c>
      <c r="B13" s="123">
        <v>4.99</v>
      </c>
    </row>
    <row r="14" spans="1:2" x14ac:dyDescent="0.25">
      <c r="A14" s="376" t="s">
        <v>941</v>
      </c>
      <c r="B14" s="123">
        <v>50</v>
      </c>
    </row>
    <row r="15" spans="1:2" x14ac:dyDescent="0.25">
      <c r="A15" s="376" t="s">
        <v>864</v>
      </c>
      <c r="B15" s="123">
        <v>17.23</v>
      </c>
    </row>
    <row r="16" spans="1:2" x14ac:dyDescent="0.25">
      <c r="A16" s="376" t="s">
        <v>42</v>
      </c>
      <c r="B16" s="123">
        <v>77.72</v>
      </c>
    </row>
    <row r="17" spans="2:2" x14ac:dyDescent="0.25">
      <c r="B17" s="123"/>
    </row>
    <row r="18" spans="2:2" x14ac:dyDescent="0.25">
      <c r="B18" s="123"/>
    </row>
    <row r="19" spans="2:2" x14ac:dyDescent="0.25">
      <c r="B19" s="123"/>
    </row>
    <row r="20" spans="2:2" x14ac:dyDescent="0.25">
      <c r="B20" s="123"/>
    </row>
    <row r="21" spans="2:2" x14ac:dyDescent="0.25">
      <c r="B21" s="123"/>
    </row>
    <row r="22" spans="2:2" x14ac:dyDescent="0.25">
      <c r="B22" s="123"/>
    </row>
    <row r="23" spans="2:2" x14ac:dyDescent="0.25">
      <c r="B23" s="123"/>
    </row>
    <row r="24" spans="2:2" x14ac:dyDescent="0.25">
      <c r="B24" s="123"/>
    </row>
    <row r="25" spans="2:2" x14ac:dyDescent="0.25">
      <c r="B25" s="123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 zoomScale="100" zoomScaleNormal="100">
      <selection activeCell="B11" sqref="B11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6397.64</v>
      </c>
    </row>
    <row r="2" ht="16" customHeight="1" spans="1:5" x14ac:dyDescent="0.25">
      <c r="A2" s="376" t="s">
        <v>964</v>
      </c>
      <c r="B2" s="390">
        <v>5500</v>
      </c>
      <c r="C2" s="376"/>
      <c r="D2" s="36" t="s">
        <v>898</v>
      </c>
      <c r="E2" s="378">
        <v>8795</v>
      </c>
    </row>
    <row r="3" ht="16" customHeight="1" spans="1:6" x14ac:dyDescent="0.25">
      <c r="A3" s="376" t="s">
        <v>899</v>
      </c>
      <c r="B3" s="379">
        <v>346.8</v>
      </c>
      <c r="C3" s="376"/>
      <c r="D3" s="36" t="s">
        <v>900</v>
      </c>
      <c r="E3" s="378">
        <f>E2-E1</f>
        <v>2397.3599999999997</v>
      </c>
      <c r="F3">
        <f>E3*0.5+158</f>
        <v>1356.6799999999998</v>
      </c>
    </row>
    <row r="4" spans="1:2" x14ac:dyDescent="0.25">
      <c r="A4" s="376" t="s">
        <v>559</v>
      </c>
      <c r="B4" s="123">
        <f>(20.09+22.59)/2</f>
        <v>21.34</v>
      </c>
    </row>
    <row r="5" spans="1:2" x14ac:dyDescent="0.25">
      <c r="A5" s="376" t="s">
        <v>560</v>
      </c>
      <c r="B5" s="123">
        <f>7.9/2</f>
        <v>3.95</v>
      </c>
    </row>
    <row r="6" spans="1:2" x14ac:dyDescent="0.25">
      <c r="A6" s="376" t="s">
        <v>572</v>
      </c>
      <c r="B6" s="123">
        <v>5.55</v>
      </c>
    </row>
    <row r="7" spans="1:2" x14ac:dyDescent="0.25">
      <c r="A7" s="376" t="s">
        <v>870</v>
      </c>
      <c r="B7" s="123">
        <v>40</v>
      </c>
    </row>
    <row r="8" spans="1:2" x14ac:dyDescent="0.25">
      <c r="A8" s="376" t="s">
        <v>880</v>
      </c>
      <c r="B8" s="123">
        <v>135</v>
      </c>
    </row>
    <row r="9" spans="1:2" x14ac:dyDescent="0.25">
      <c r="A9" s="376" t="s">
        <v>920</v>
      </c>
      <c r="B9" s="123">
        <v>180</v>
      </c>
    </row>
    <row r="10" spans="1:2" x14ac:dyDescent="0.25">
      <c r="A10" s="376" t="s">
        <v>933</v>
      </c>
      <c r="B10" s="123">
        <v>165</v>
      </c>
    </row>
    <row r="11" spans="1:2" x14ac:dyDescent="0.25">
      <c r="A11" s="376" t="s">
        <v>42</v>
      </c>
      <c r="B11" s="123"/>
    </row>
    <row r="12" spans="2:2" x14ac:dyDescent="0.25">
      <c r="B12" s="123"/>
    </row>
    <row r="13" spans="2:2" x14ac:dyDescent="0.25">
      <c r="B13" s="123"/>
    </row>
    <row r="14" spans="2:2" x14ac:dyDescent="0.25">
      <c r="B14" s="123"/>
    </row>
    <row r="15" spans="2:2" x14ac:dyDescent="0.25">
      <c r="B15" s="123"/>
    </row>
    <row r="16" spans="2:2" x14ac:dyDescent="0.25">
      <c r="B16" s="123"/>
    </row>
    <row r="17" spans="2:2" x14ac:dyDescent="0.25">
      <c r="B17" s="123"/>
    </row>
    <row r="18" spans="2:2" x14ac:dyDescent="0.25">
      <c r="B18" s="123"/>
    </row>
    <row r="19" spans="2:2" x14ac:dyDescent="0.25">
      <c r="B19" s="123"/>
    </row>
    <row r="20" spans="2:2" x14ac:dyDescent="0.25">
      <c r="B20" s="123"/>
    </row>
    <row r="21" spans="2:2" x14ac:dyDescent="0.25">
      <c r="B21" s="123"/>
    </row>
    <row r="22" spans="2:2" x14ac:dyDescent="0.25">
      <c r="B22" s="123"/>
    </row>
    <row r="23" spans="2:2" x14ac:dyDescent="0.25">
      <c r="B23" s="123"/>
    </row>
    <row r="24" spans="2:2" x14ac:dyDescent="0.25">
      <c r="B24" s="123"/>
    </row>
    <row r="25" spans="2:2" x14ac:dyDescent="0.25">
      <c r="B25" s="123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0"/>
  <sheetViews>
    <sheetView workbookViewId="0" zoomScale="100" zoomScaleNormal="100">
      <selection activeCell="K28" sqref="K28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5253.02</v>
      </c>
    </row>
    <row r="2" ht="16" customHeight="1" spans="1:5" x14ac:dyDescent="0.25">
      <c r="A2" s="376" t="s">
        <v>964</v>
      </c>
      <c r="B2" s="390">
        <v>4600</v>
      </c>
      <c r="C2" s="376"/>
      <c r="D2" s="36" t="s">
        <v>898</v>
      </c>
      <c r="E2" s="378">
        <v>8995</v>
      </c>
    </row>
    <row r="3" ht="16" customHeight="1" spans="1:5" x14ac:dyDescent="0.25">
      <c r="A3" s="376" t="s">
        <v>899</v>
      </c>
      <c r="B3" s="379">
        <v>346.8</v>
      </c>
      <c r="C3" s="376"/>
      <c r="D3" s="36" t="s">
        <v>900</v>
      </c>
      <c r="E3" s="378">
        <f>E2-E1</f>
        <v>3741.9799999999996</v>
      </c>
    </row>
    <row r="4" spans="1:2" x14ac:dyDescent="0.25">
      <c r="A4" s="376" t="s">
        <v>972</v>
      </c>
      <c r="B4" s="123">
        <v>115</v>
      </c>
    </row>
    <row r="5" spans="1:2" x14ac:dyDescent="0.25">
      <c r="A5" s="376" t="s">
        <v>864</v>
      </c>
      <c r="B5" s="123">
        <v>36.1</v>
      </c>
    </row>
    <row r="6" spans="1:2" x14ac:dyDescent="0.25">
      <c r="A6" s="376" t="s">
        <v>864</v>
      </c>
      <c r="B6" s="123">
        <v>29.4</v>
      </c>
    </row>
    <row r="7" spans="1:2" x14ac:dyDescent="0.25">
      <c r="A7" s="376" t="s">
        <v>765</v>
      </c>
      <c r="B7" s="123">
        <v>8</v>
      </c>
    </row>
    <row r="8" spans="1:2" x14ac:dyDescent="0.25">
      <c r="A8" s="376" t="s">
        <v>870</v>
      </c>
      <c r="B8" s="123">
        <v>40</v>
      </c>
    </row>
    <row r="9" spans="1:2" x14ac:dyDescent="0.25">
      <c r="A9" s="376" t="s">
        <v>42</v>
      </c>
      <c r="B9" s="123">
        <v>77.72</v>
      </c>
    </row>
    <row r="10" spans="2:2" x14ac:dyDescent="0.25">
      <c r="B10" s="123"/>
    </row>
    <row r="11" spans="2:2" x14ac:dyDescent="0.25">
      <c r="B11" s="123"/>
    </row>
    <row r="12" spans="2:2" x14ac:dyDescent="0.25">
      <c r="B12" s="123"/>
    </row>
    <row r="13" spans="2:2" x14ac:dyDescent="0.25">
      <c r="B13" s="123"/>
    </row>
    <row r="14" spans="2:2" x14ac:dyDescent="0.25">
      <c r="B14" s="123"/>
    </row>
    <row r="15" spans="2:2" x14ac:dyDescent="0.25">
      <c r="B15" s="123"/>
    </row>
    <row r="16" spans="2:2" x14ac:dyDescent="0.25">
      <c r="B16" s="123"/>
    </row>
    <row r="17" spans="2:2" x14ac:dyDescent="0.25">
      <c r="B17" s="123"/>
    </row>
    <row r="18" spans="2:2" x14ac:dyDescent="0.25">
      <c r="B18" s="123"/>
    </row>
    <row r="19" spans="2:2" x14ac:dyDescent="0.25">
      <c r="B19" s="123"/>
    </row>
    <row r="20" spans="2:2" x14ac:dyDescent="0.25">
      <c r="B20" s="123"/>
    </row>
    <row r="21" spans="2:2" x14ac:dyDescent="0.25">
      <c r="B21" s="123"/>
    </row>
    <row r="22" spans="2:2" x14ac:dyDescent="0.25">
      <c r="B22" s="123"/>
    </row>
    <row r="23" spans="2:2" x14ac:dyDescent="0.25">
      <c r="B23" s="123"/>
    </row>
    <row r="24" spans="2:2" x14ac:dyDescent="0.25">
      <c r="B24" s="123"/>
    </row>
    <row r="25" spans="2:2" x14ac:dyDescent="0.25">
      <c r="B25" s="123"/>
    </row>
    <row r="26" spans="2:2" x14ac:dyDescent="0.25">
      <c r="B26" s="123"/>
    </row>
    <row r="27" spans="2:2" x14ac:dyDescent="0.25">
      <c r="B27" s="123"/>
    </row>
    <row r="28" spans="2:2" x14ac:dyDescent="0.25">
      <c r="B28" s="123"/>
    </row>
    <row r="29" spans="2:2" x14ac:dyDescent="0.25">
      <c r="B29" s="123"/>
    </row>
    <row r="30" spans="2:2" x14ac:dyDescent="0.25">
      <c r="B30" s="123"/>
    </row>
    <row r="31" spans="2:2" x14ac:dyDescent="0.25">
      <c r="B31" s="123"/>
    </row>
    <row r="32" spans="2:2" x14ac:dyDescent="0.25">
      <c r="B32" s="123"/>
    </row>
    <row r="33" spans="2:2" x14ac:dyDescent="0.25">
      <c r="B33" s="123"/>
    </row>
    <row r="34" spans="2:2" x14ac:dyDescent="0.25">
      <c r="B34" s="123"/>
    </row>
    <row r="35" spans="2:2" x14ac:dyDescent="0.25">
      <c r="B35" s="123"/>
    </row>
    <row r="36" spans="2:2" x14ac:dyDescent="0.25">
      <c r="B36" s="123"/>
    </row>
    <row r="37" spans="2:2" x14ac:dyDescent="0.25">
      <c r="B37" s="123"/>
    </row>
    <row r="38" spans="2:2" x14ac:dyDescent="0.25">
      <c r="B38" s="123"/>
    </row>
    <row r="39" spans="2:2" x14ac:dyDescent="0.25">
      <c r="B39" s="123"/>
    </row>
    <row r="40" spans="2:2" x14ac:dyDescent="0.25">
      <c r="B40" s="123"/>
    </row>
    <row r="41" spans="2:2" x14ac:dyDescent="0.25">
      <c r="B41" s="123"/>
    </row>
    <row r="42" spans="2:2" x14ac:dyDescent="0.25">
      <c r="B42" s="123"/>
    </row>
    <row r="43" spans="2:2" x14ac:dyDescent="0.25">
      <c r="B43" s="123"/>
    </row>
    <row r="44" spans="2:2" x14ac:dyDescent="0.25">
      <c r="B44" s="123"/>
    </row>
    <row r="45" spans="2:2" x14ac:dyDescent="0.25">
      <c r="B45" s="123"/>
    </row>
    <row r="46" spans="2:2" x14ac:dyDescent="0.25">
      <c r="B46" s="123"/>
    </row>
    <row r="47" spans="2:2" x14ac:dyDescent="0.25">
      <c r="B47" s="123"/>
    </row>
    <row r="48" spans="2:2" x14ac:dyDescent="0.25">
      <c r="B48" s="123"/>
    </row>
    <row r="49" spans="2:2" x14ac:dyDescent="0.25">
      <c r="B49" s="123"/>
    </row>
    <row r="50" spans="2:2" x14ac:dyDescent="0.25">
      <c r="B50" s="123"/>
    </row>
    <row r="51" spans="2:2" x14ac:dyDescent="0.25">
      <c r="B51" s="123"/>
    </row>
    <row r="52" spans="2:2" x14ac:dyDescent="0.25">
      <c r="B52" s="123"/>
    </row>
    <row r="53" spans="2:2" x14ac:dyDescent="0.25">
      <c r="B53" s="123"/>
    </row>
    <row r="54" spans="2:2" x14ac:dyDescent="0.25">
      <c r="B54" s="123"/>
    </row>
    <row r="55" spans="2:2" x14ac:dyDescent="0.25">
      <c r="B55" s="123"/>
    </row>
    <row r="56" spans="2:2" x14ac:dyDescent="0.25">
      <c r="B56" s="123"/>
    </row>
    <row r="57" spans="2:2" x14ac:dyDescent="0.25">
      <c r="B57" s="123"/>
    </row>
    <row r="58" spans="2:2" x14ac:dyDescent="0.25">
      <c r="B58" s="123"/>
    </row>
    <row r="59" spans="2:2" x14ac:dyDescent="0.25">
      <c r="B59" s="123"/>
    </row>
    <row r="60" spans="2:2" x14ac:dyDescent="0.25">
      <c r="B60" s="123"/>
    </row>
    <row r="61" spans="2:2" x14ac:dyDescent="0.25">
      <c r="B61" s="123"/>
    </row>
    <row r="62" spans="2:2" x14ac:dyDescent="0.25">
      <c r="B62" s="123"/>
    </row>
    <row r="63" spans="2:2" x14ac:dyDescent="0.25">
      <c r="B63" s="123"/>
    </row>
    <row r="64" spans="2:2" x14ac:dyDescent="0.25">
      <c r="B64" s="123"/>
    </row>
    <row r="65" spans="2:2" x14ac:dyDescent="0.25">
      <c r="B65" s="123"/>
    </row>
    <row r="66" spans="2:2" x14ac:dyDescent="0.25">
      <c r="B66" s="123"/>
    </row>
    <row r="67" spans="2:2" x14ac:dyDescent="0.25">
      <c r="B67" s="123"/>
    </row>
    <row r="68" spans="2:2" x14ac:dyDescent="0.25">
      <c r="B68" s="123"/>
    </row>
    <row r="69" spans="2:2" x14ac:dyDescent="0.25">
      <c r="B69" s="123"/>
    </row>
    <row r="70" spans="2:2" x14ac:dyDescent="0.25">
      <c r="B70" s="123"/>
    </row>
    <row r="71" spans="2:2" x14ac:dyDescent="0.25">
      <c r="B71" s="123"/>
    </row>
    <row r="72" spans="2:2" x14ac:dyDescent="0.25">
      <c r="B72" s="123"/>
    </row>
    <row r="73" spans="2:2" x14ac:dyDescent="0.25">
      <c r="B73" s="123"/>
    </row>
    <row r="74" spans="2:2" x14ac:dyDescent="0.25">
      <c r="B74" s="123"/>
    </row>
    <row r="75" spans="2:2" x14ac:dyDescent="0.25">
      <c r="B75" s="123"/>
    </row>
    <row r="76" spans="2:2" x14ac:dyDescent="0.25">
      <c r="B76" s="123"/>
    </row>
    <row r="77" spans="2:2" x14ac:dyDescent="0.25">
      <c r="B77" s="123"/>
    </row>
    <row r="78" spans="2:2" x14ac:dyDescent="0.25">
      <c r="B78" s="123"/>
    </row>
    <row r="79" spans="2:2" x14ac:dyDescent="0.25">
      <c r="B79" s="123"/>
    </row>
    <row r="80" spans="2:2" x14ac:dyDescent="0.25">
      <c r="B80" s="123"/>
    </row>
    <row r="81" spans="2:2" x14ac:dyDescent="0.25">
      <c r="B81" s="123"/>
    </row>
    <row r="82" spans="2:2" x14ac:dyDescent="0.25">
      <c r="B82" s="123"/>
    </row>
    <row r="83" spans="2:2" x14ac:dyDescent="0.25">
      <c r="B83" s="123"/>
    </row>
    <row r="84" spans="2:2" x14ac:dyDescent="0.25">
      <c r="B84" s="123"/>
    </row>
    <row r="85" spans="2:2" x14ac:dyDescent="0.25">
      <c r="B85" s="123"/>
    </row>
    <row r="86" spans="2:2" x14ac:dyDescent="0.25">
      <c r="B86" s="123"/>
    </row>
    <row r="87" spans="2:2" x14ac:dyDescent="0.25">
      <c r="B87" s="123"/>
    </row>
    <row r="88" spans="2:2" x14ac:dyDescent="0.25">
      <c r="B88" s="123"/>
    </row>
    <row r="89" spans="2:2" x14ac:dyDescent="0.25">
      <c r="B89" s="123"/>
    </row>
    <row r="90" spans="2:2" x14ac:dyDescent="0.25">
      <c r="B90" s="123"/>
    </row>
    <row r="91" spans="2:2" x14ac:dyDescent="0.25">
      <c r="B91" s="123"/>
    </row>
    <row r="92" spans="2:2" x14ac:dyDescent="0.25">
      <c r="B92" s="123"/>
    </row>
    <row r="93" spans="2:2" x14ac:dyDescent="0.25">
      <c r="B93" s="123"/>
    </row>
    <row r="94" spans="2:2" x14ac:dyDescent="0.25">
      <c r="B94" s="123"/>
    </row>
    <row r="95" spans="2:2" x14ac:dyDescent="0.25">
      <c r="B95" s="123"/>
    </row>
    <row r="96" spans="2:2" x14ac:dyDescent="0.25">
      <c r="B96" s="123"/>
    </row>
    <row r="97" spans="2:2" x14ac:dyDescent="0.25">
      <c r="B97" s="123"/>
    </row>
    <row r="98" spans="2:2" x14ac:dyDescent="0.25">
      <c r="B98" s="123"/>
    </row>
    <row r="99" spans="2:2" x14ac:dyDescent="0.25">
      <c r="B99" s="123"/>
    </row>
    <row r="100" spans="2:2" x14ac:dyDescent="0.25">
      <c r="B100" s="123"/>
    </row>
    <row r="101" spans="2:2" x14ac:dyDescent="0.25">
      <c r="B101" s="123"/>
    </row>
    <row r="102" spans="2:2" x14ac:dyDescent="0.25">
      <c r="B102" s="123"/>
    </row>
    <row r="103" spans="2:2" x14ac:dyDescent="0.25">
      <c r="B103" s="123"/>
    </row>
    <row r="104" spans="2:2" x14ac:dyDescent="0.25">
      <c r="B104" s="123"/>
    </row>
    <row r="105" spans="2:2" x14ac:dyDescent="0.25">
      <c r="B105" s="123"/>
    </row>
    <row r="106" spans="2:2" x14ac:dyDescent="0.25">
      <c r="B106" s="123"/>
    </row>
    <row r="107" spans="2:2" x14ac:dyDescent="0.25">
      <c r="B107" s="123"/>
    </row>
    <row r="108" spans="2:2" x14ac:dyDescent="0.25">
      <c r="B108" s="123"/>
    </row>
    <row r="109" spans="2:2" x14ac:dyDescent="0.25">
      <c r="B109" s="123"/>
    </row>
    <row r="110" spans="2:2" x14ac:dyDescent="0.25">
      <c r="B110" s="123"/>
    </row>
    <row r="111" spans="2:2" x14ac:dyDescent="0.25">
      <c r="B111" s="123"/>
    </row>
    <row r="112" spans="2:2" x14ac:dyDescent="0.25">
      <c r="B112" s="123"/>
    </row>
    <row r="113" spans="2:2" x14ac:dyDescent="0.25">
      <c r="B113" s="123"/>
    </row>
    <row r="114" spans="2:2" x14ac:dyDescent="0.25">
      <c r="B114" s="123"/>
    </row>
    <row r="115" spans="2:2" x14ac:dyDescent="0.25">
      <c r="B115" s="123"/>
    </row>
    <row r="116" spans="2:2" x14ac:dyDescent="0.25">
      <c r="B116" s="123"/>
    </row>
    <row r="117" spans="2:2" x14ac:dyDescent="0.25">
      <c r="B117" s="123"/>
    </row>
    <row r="118" spans="2:2" x14ac:dyDescent="0.25">
      <c r="B118" s="123"/>
    </row>
    <row r="119" spans="2:2" x14ac:dyDescent="0.25">
      <c r="B119" s="123"/>
    </row>
    <row r="120" spans="2:2" x14ac:dyDescent="0.25">
      <c r="B120" s="123"/>
    </row>
    <row r="121" spans="2:2" x14ac:dyDescent="0.25">
      <c r="B121" s="123"/>
    </row>
    <row r="122" spans="2:2" x14ac:dyDescent="0.25">
      <c r="B122" s="123"/>
    </row>
    <row r="123" spans="2:2" x14ac:dyDescent="0.25">
      <c r="B123" s="123"/>
    </row>
    <row r="124" spans="2:2" x14ac:dyDescent="0.25">
      <c r="B124" s="123"/>
    </row>
    <row r="125" spans="2:2" x14ac:dyDescent="0.25">
      <c r="B125" s="123"/>
    </row>
    <row r="126" spans="2:2" x14ac:dyDescent="0.25">
      <c r="B126" s="123"/>
    </row>
    <row r="127" spans="2:2" x14ac:dyDescent="0.25">
      <c r="B127" s="123"/>
    </row>
    <row r="128" spans="2:2" x14ac:dyDescent="0.25">
      <c r="B128" s="123"/>
    </row>
    <row r="129" spans="2:2" x14ac:dyDescent="0.25">
      <c r="B129" s="123"/>
    </row>
    <row r="130" spans="2:2" x14ac:dyDescent="0.25">
      <c r="B130" s="123"/>
    </row>
    <row r="131" spans="2:2" x14ac:dyDescent="0.25">
      <c r="B131" s="123"/>
    </row>
    <row r="132" spans="2:2" x14ac:dyDescent="0.25">
      <c r="B132" s="123"/>
    </row>
    <row r="133" spans="2:2" x14ac:dyDescent="0.25">
      <c r="B133" s="123"/>
    </row>
    <row r="134" spans="2:2" x14ac:dyDescent="0.25">
      <c r="B134" s="123"/>
    </row>
    <row r="135" spans="2:2" x14ac:dyDescent="0.25">
      <c r="B135" s="123"/>
    </row>
    <row r="136" spans="2:2" x14ac:dyDescent="0.25">
      <c r="B136" s="123"/>
    </row>
    <row r="137" spans="2:2" x14ac:dyDescent="0.25">
      <c r="B137" s="123"/>
    </row>
    <row r="138" spans="2:2" x14ac:dyDescent="0.25">
      <c r="B138" s="123"/>
    </row>
    <row r="139" spans="2:2" x14ac:dyDescent="0.25">
      <c r="B139" s="123"/>
    </row>
    <row r="140" spans="2:2" x14ac:dyDescent="0.25">
      <c r="B140" s="123"/>
    </row>
    <row r="141" spans="2:2" x14ac:dyDescent="0.25">
      <c r="B141" s="123"/>
    </row>
    <row r="142" spans="2:2" x14ac:dyDescent="0.25">
      <c r="B142" s="123"/>
    </row>
    <row r="143" spans="2:2" x14ac:dyDescent="0.25">
      <c r="B143" s="123"/>
    </row>
    <row r="144" spans="2:2" x14ac:dyDescent="0.25">
      <c r="B144" s="123"/>
    </row>
    <row r="145" spans="2:2" x14ac:dyDescent="0.25">
      <c r="B145" s="123"/>
    </row>
    <row r="146" spans="2:2" x14ac:dyDescent="0.25">
      <c r="B146" s="123"/>
    </row>
    <row r="147" spans="2:2" x14ac:dyDescent="0.25">
      <c r="B147" s="123"/>
    </row>
    <row r="148" spans="2:2" x14ac:dyDescent="0.25">
      <c r="B148" s="123"/>
    </row>
    <row r="149" spans="2:2" x14ac:dyDescent="0.25">
      <c r="B149" s="123"/>
    </row>
    <row r="150" spans="2:2" x14ac:dyDescent="0.25">
      <c r="B150" s="123"/>
    </row>
    <row r="151" spans="2:2" x14ac:dyDescent="0.25">
      <c r="B151" s="123"/>
    </row>
    <row r="152" spans="2:2" x14ac:dyDescent="0.25">
      <c r="B152" s="123"/>
    </row>
    <row r="153" spans="2:2" x14ac:dyDescent="0.25">
      <c r="B153" s="123"/>
    </row>
    <row r="154" spans="2:2" x14ac:dyDescent="0.25">
      <c r="B154" s="123"/>
    </row>
    <row r="155" spans="2:2" x14ac:dyDescent="0.25">
      <c r="B155" s="123"/>
    </row>
    <row r="156" spans="2:2" x14ac:dyDescent="0.25">
      <c r="B156" s="123"/>
    </row>
    <row r="157" spans="2:2" x14ac:dyDescent="0.25">
      <c r="B157" s="123"/>
    </row>
    <row r="158" spans="2:2" x14ac:dyDescent="0.25">
      <c r="B158" s="123"/>
    </row>
    <row r="159" spans="2:2" x14ac:dyDescent="0.25">
      <c r="B159" s="123"/>
    </row>
    <row r="160" spans="2:2" x14ac:dyDescent="0.25">
      <c r="B160" s="123"/>
    </row>
    <row r="161" spans="2:2" x14ac:dyDescent="0.25">
      <c r="B161" s="123"/>
    </row>
    <row r="162" spans="2:2" x14ac:dyDescent="0.25">
      <c r="B162" s="123"/>
    </row>
    <row r="163" spans="2:2" x14ac:dyDescent="0.25">
      <c r="B163" s="123"/>
    </row>
    <row r="164" spans="2:2" x14ac:dyDescent="0.25">
      <c r="B164" s="123"/>
    </row>
    <row r="165" spans="2:2" x14ac:dyDescent="0.25">
      <c r="B165" s="123"/>
    </row>
    <row r="166" spans="2:2" x14ac:dyDescent="0.25">
      <c r="B166" s="123"/>
    </row>
    <row r="167" spans="2:2" x14ac:dyDescent="0.25">
      <c r="B167" s="123"/>
    </row>
    <row r="168" spans="2:2" x14ac:dyDescent="0.25">
      <c r="B168" s="123"/>
    </row>
    <row r="169" spans="2:2" x14ac:dyDescent="0.25">
      <c r="B169" s="123"/>
    </row>
    <row r="170" spans="2:2" x14ac:dyDescent="0.25">
      <c r="B170" s="123"/>
    </row>
    <row r="171" spans="2:2" x14ac:dyDescent="0.25">
      <c r="B171" s="123"/>
    </row>
    <row r="172" spans="2:2" x14ac:dyDescent="0.25">
      <c r="B172" s="123"/>
    </row>
    <row r="173" spans="2:2" x14ac:dyDescent="0.25">
      <c r="B173" s="123"/>
    </row>
    <row r="174" spans="2:2" x14ac:dyDescent="0.25">
      <c r="B174" s="123"/>
    </row>
    <row r="175" spans="2:2" x14ac:dyDescent="0.25">
      <c r="B175" s="123"/>
    </row>
    <row r="176" spans="2:2" x14ac:dyDescent="0.25">
      <c r="B176" s="123"/>
    </row>
    <row r="177" spans="2:2" x14ac:dyDescent="0.25">
      <c r="B177" s="123"/>
    </row>
    <row r="178" spans="2:2" x14ac:dyDescent="0.25">
      <c r="B178" s="123"/>
    </row>
    <row r="179" spans="2:2" x14ac:dyDescent="0.25">
      <c r="B179" s="123"/>
    </row>
    <row r="180" spans="2:2" x14ac:dyDescent="0.25">
      <c r="B180" s="123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zoomScale="100" zoomScaleNormal="100">
      <selection activeCell="K21" sqref="K21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6528.7300000000005</v>
      </c>
    </row>
    <row r="2" ht="16" customHeight="1" spans="1:5" x14ac:dyDescent="0.25">
      <c r="A2" s="376" t="s">
        <v>964</v>
      </c>
      <c r="B2" s="390">
        <v>5665.88</v>
      </c>
      <c r="C2" s="376"/>
      <c r="D2" s="36" t="s">
        <v>898</v>
      </c>
      <c r="E2" s="378"/>
    </row>
    <row r="3" ht="16" customHeight="1" spans="1:5" x14ac:dyDescent="0.25">
      <c r="A3" s="376" t="s">
        <v>899</v>
      </c>
      <c r="B3" s="379">
        <v>394.8</v>
      </c>
      <c r="C3" s="376"/>
      <c r="D3" s="36" t="s">
        <v>900</v>
      </c>
      <c r="E3" s="378">
        <f>E2-E1</f>
        <v>-6528.7300000000005</v>
      </c>
    </row>
    <row r="4" spans="1:2" x14ac:dyDescent="0.25">
      <c r="A4" s="376" t="s">
        <v>887</v>
      </c>
      <c r="B4" s="123">
        <v>250</v>
      </c>
    </row>
    <row r="5" spans="1:2" x14ac:dyDescent="0.25">
      <c r="A5" s="376" t="s">
        <v>864</v>
      </c>
      <c r="B5" s="123">
        <v>10</v>
      </c>
    </row>
    <row r="6" spans="1:2" x14ac:dyDescent="0.25">
      <c r="A6" s="376" t="s">
        <v>870</v>
      </c>
      <c r="B6" s="123">
        <v>40</v>
      </c>
    </row>
    <row r="7" spans="1:2" x14ac:dyDescent="0.25">
      <c r="A7" s="376" t="s">
        <v>943</v>
      </c>
      <c r="B7" s="123">
        <v>140</v>
      </c>
    </row>
    <row r="8" spans="1:2" x14ac:dyDescent="0.25">
      <c r="A8" s="376" t="s">
        <v>765</v>
      </c>
      <c r="B8" s="123">
        <v>8</v>
      </c>
    </row>
    <row r="9" spans="1:2" x14ac:dyDescent="0.25">
      <c r="A9" s="376" t="s">
        <v>864</v>
      </c>
      <c r="B9" s="123">
        <v>7.05</v>
      </c>
    </row>
    <row r="10" spans="1:2" x14ac:dyDescent="0.25">
      <c r="A10" s="376" t="s">
        <v>908</v>
      </c>
      <c r="B10" s="123">
        <v>1.5</v>
      </c>
    </row>
    <row r="11" spans="1:2" x14ac:dyDescent="0.25">
      <c r="A11" s="376" t="s">
        <v>908</v>
      </c>
      <c r="B11" s="123">
        <v>1.5</v>
      </c>
    </row>
    <row r="12" spans="1:3" x14ac:dyDescent="0.25">
      <c r="A12" s="376" t="s">
        <v>911</v>
      </c>
      <c r="B12" s="123">
        <v>10</v>
      </c>
      <c r="C12" t="s">
        <v>698</v>
      </c>
    </row>
    <row r="13" spans="2:2" x14ac:dyDescent="0.25">
      <c r="B13" s="123"/>
    </row>
    <row r="14" spans="2:2" x14ac:dyDescent="0.25">
      <c r="B14" s="123"/>
    </row>
    <row r="15" spans="2:2" x14ac:dyDescent="0.25">
      <c r="B15" s="123"/>
    </row>
    <row r="16" spans="2:2" x14ac:dyDescent="0.25">
      <c r="B16" s="123"/>
    </row>
    <row r="17" spans="2:2" x14ac:dyDescent="0.25">
      <c r="B17" s="123"/>
    </row>
    <row r="18" spans="2:2" x14ac:dyDescent="0.25">
      <c r="B18" s="123"/>
    </row>
    <row r="19" spans="2:2" x14ac:dyDescent="0.25">
      <c r="B19" s="123"/>
    </row>
    <row r="20" spans="2:2" x14ac:dyDescent="0.25">
      <c r="B20" s="123"/>
    </row>
    <row r="21" spans="2:2" x14ac:dyDescent="0.25">
      <c r="B21" s="123"/>
    </row>
    <row r="22" spans="2:2" x14ac:dyDescent="0.25">
      <c r="B22" s="123"/>
    </row>
    <row r="23" spans="2:2" x14ac:dyDescent="0.25">
      <c r="B23" s="123"/>
    </row>
    <row r="24" spans="2:2" x14ac:dyDescent="0.25">
      <c r="B24" s="123"/>
    </row>
    <row r="25" spans="2:2" x14ac:dyDescent="0.25">
      <c r="B25" s="123"/>
    </row>
    <row r="26" spans="2:2" x14ac:dyDescent="0.25">
      <c r="B26" s="123"/>
    </row>
    <row r="27" spans="2:2" x14ac:dyDescent="0.25">
      <c r="B27" s="123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zoomScale="100" zoomScaleNormal="100">
      <selection activeCell="F2" sqref="F2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5374.7300000000005</v>
      </c>
    </row>
    <row r="2" ht="16" customHeight="1" spans="1:5" x14ac:dyDescent="0.25">
      <c r="A2" s="376" t="s">
        <v>964</v>
      </c>
      <c r="B2" s="390">
        <v>4950</v>
      </c>
      <c r="C2" s="376"/>
      <c r="D2" s="36" t="s">
        <v>898</v>
      </c>
      <c r="E2" s="378"/>
    </row>
    <row r="3" ht="16" customHeight="1" spans="1:5" x14ac:dyDescent="0.25">
      <c r="A3" s="376" t="s">
        <v>899</v>
      </c>
      <c r="B3" s="379">
        <v>346.8</v>
      </c>
      <c r="C3" s="376"/>
      <c r="D3" s="36" t="s">
        <v>900</v>
      </c>
      <c r="E3" s="378">
        <f>E2-E1</f>
        <v>-5374.7300000000005</v>
      </c>
    </row>
    <row r="4" spans="1:2" x14ac:dyDescent="0.25">
      <c r="A4" s="376" t="s">
        <v>864</v>
      </c>
      <c r="B4" s="123">
        <v>19.93</v>
      </c>
    </row>
    <row r="5" spans="1:2" x14ac:dyDescent="0.25">
      <c r="A5" s="376" t="s">
        <v>765</v>
      </c>
      <c r="B5" s="123">
        <v>18</v>
      </c>
    </row>
    <row r="6" spans="1:2" x14ac:dyDescent="0.25">
      <c r="A6" s="376" t="s">
        <v>574</v>
      </c>
      <c r="B6" s="123">
        <v>40</v>
      </c>
    </row>
    <row r="7" spans="2:2" x14ac:dyDescent="0.25">
      <c r="B7" s="123"/>
    </row>
    <row r="8" spans="2:2" x14ac:dyDescent="0.25">
      <c r="B8" s="123"/>
    </row>
    <row r="9" spans="2:2" x14ac:dyDescent="0.25">
      <c r="B9" s="123"/>
    </row>
    <row r="10" spans="2:2" x14ac:dyDescent="0.25">
      <c r="B10" s="123"/>
    </row>
    <row r="11" spans="2:2" x14ac:dyDescent="0.25">
      <c r="B11" s="123"/>
    </row>
    <row r="12" spans="2:2" x14ac:dyDescent="0.25">
      <c r="B12" s="123"/>
    </row>
    <row r="13" spans="2:2" x14ac:dyDescent="0.25">
      <c r="B13" s="123"/>
    </row>
    <row r="14" spans="2:2" x14ac:dyDescent="0.25">
      <c r="B14" s="123"/>
    </row>
    <row r="15" spans="2:2" x14ac:dyDescent="0.25">
      <c r="B15" s="123"/>
    </row>
    <row r="16" spans="2:2" x14ac:dyDescent="0.25">
      <c r="B16" s="123"/>
    </row>
    <row r="17" spans="2:2" x14ac:dyDescent="0.25">
      <c r="B17" s="123"/>
    </row>
    <row r="18" spans="2:2" x14ac:dyDescent="0.25">
      <c r="B18" s="123"/>
    </row>
    <row r="19" spans="2:2" x14ac:dyDescent="0.25">
      <c r="B19" s="123"/>
    </row>
    <row r="20" spans="2:2" x14ac:dyDescent="0.25">
      <c r="B20" s="123"/>
    </row>
    <row r="21" spans="2:2" x14ac:dyDescent="0.25">
      <c r="B21" s="123"/>
    </row>
    <row r="22" spans="2:2" x14ac:dyDescent="0.25">
      <c r="B22" s="123"/>
    </row>
    <row r="23" spans="2:2" x14ac:dyDescent="0.25">
      <c r="B23" s="123"/>
    </row>
    <row r="24" spans="2:2" x14ac:dyDescent="0.25">
      <c r="B24" s="123"/>
    </row>
    <row r="25" spans="2:2" x14ac:dyDescent="0.25">
      <c r="B25" s="123"/>
    </row>
    <row r="26" spans="2:2" x14ac:dyDescent="0.25">
      <c r="B26" s="123"/>
    </row>
    <row r="27" spans="2:2" x14ac:dyDescent="0.25">
      <c r="B27" s="123"/>
    </row>
    <row r="28" spans="2:2" x14ac:dyDescent="0.25">
      <c r="B28" s="123"/>
    </row>
    <row r="29" spans="2:2" x14ac:dyDescent="0.25">
      <c r="B29" s="123"/>
    </row>
    <row r="30" spans="2:2" x14ac:dyDescent="0.25">
      <c r="B30" s="123"/>
    </row>
    <row r="31" spans="2:2" x14ac:dyDescent="0.25">
      <c r="B31" s="123"/>
    </row>
    <row r="32" spans="2:2" x14ac:dyDescent="0.25">
      <c r="B32" s="123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workbookViewId="0" zoomScale="100" zoomScaleNormal="100">
      <selection activeCell="A9" sqref="A9"/>
    </sheetView>
  </sheetViews>
  <sheetFormatPr defaultRowHeight="15" outlineLevelRow="0" outlineLevelCol="0" x14ac:dyDescent="0" defaultColWidth="11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8246.15</v>
      </c>
    </row>
    <row r="2" ht="16" customHeight="1" spans="1:5" x14ac:dyDescent="0.25">
      <c r="A2" s="376" t="s">
        <v>964</v>
      </c>
      <c r="B2" s="390">
        <v>7023</v>
      </c>
      <c r="C2" s="376"/>
      <c r="D2" s="36" t="s">
        <v>898</v>
      </c>
      <c r="E2" s="378"/>
    </row>
    <row r="3" ht="16" customHeight="1" spans="1:5" x14ac:dyDescent="0.25">
      <c r="A3" s="376" t="s">
        <v>899</v>
      </c>
      <c r="B3" s="379">
        <v>430.8</v>
      </c>
      <c r="C3" s="376"/>
      <c r="D3" s="36" t="s">
        <v>900</v>
      </c>
      <c r="E3" s="378">
        <f>E2-E1</f>
        <v>-8246.15</v>
      </c>
    </row>
    <row r="4" spans="1:2" x14ac:dyDescent="0.25">
      <c r="A4" s="376" t="s">
        <v>887</v>
      </c>
      <c r="B4" s="123">
        <v>300</v>
      </c>
    </row>
    <row r="5" spans="1:2" x14ac:dyDescent="0.25">
      <c r="A5" s="376" t="s">
        <v>867</v>
      </c>
      <c r="B5" s="123">
        <v>400</v>
      </c>
    </row>
    <row r="6" spans="1:2" x14ac:dyDescent="0.25">
      <c r="A6" s="376" t="s">
        <v>973</v>
      </c>
      <c r="B6" s="123">
        <v>12</v>
      </c>
    </row>
    <row r="7" spans="1:2" x14ac:dyDescent="0.25">
      <c r="A7" s="376" t="s">
        <v>864</v>
      </c>
      <c r="B7" s="123">
        <v>10.4</v>
      </c>
    </row>
    <row r="8" spans="1:2" x14ac:dyDescent="0.25">
      <c r="A8" s="376" t="s">
        <v>42</v>
      </c>
      <c r="B8" s="123">
        <v>69.95</v>
      </c>
    </row>
    <row r="9" spans="2:2" x14ac:dyDescent="0.25">
      <c r="B9" s="123"/>
    </row>
    <row r="10" spans="2:2" x14ac:dyDescent="0.25">
      <c r="B10" s="123"/>
    </row>
    <row r="11" spans="2:2" x14ac:dyDescent="0.25">
      <c r="B11" s="123"/>
    </row>
    <row r="12" spans="2:2" x14ac:dyDescent="0.25">
      <c r="B12" s="123"/>
    </row>
    <row r="13" spans="2:2" x14ac:dyDescent="0.25">
      <c r="B13" s="123"/>
    </row>
    <row r="14" spans="2:2" x14ac:dyDescent="0.25">
      <c r="B14" s="123"/>
    </row>
    <row r="15" spans="2:2" x14ac:dyDescent="0.25">
      <c r="B15" s="123"/>
    </row>
    <row r="16" spans="2:2" x14ac:dyDescent="0.25">
      <c r="B16" s="123"/>
    </row>
    <row r="17" spans="2:2" x14ac:dyDescent="0.25">
      <c r="B17" s="123"/>
    </row>
    <row r="18" spans="2:2" x14ac:dyDescent="0.25">
      <c r="B18" s="123"/>
    </row>
    <row r="19" spans="2:2" x14ac:dyDescent="0.25">
      <c r="B19" s="123"/>
    </row>
    <row r="20" spans="2:2" x14ac:dyDescent="0.25">
      <c r="B20" s="123"/>
    </row>
    <row r="21" spans="2:2" x14ac:dyDescent="0.25">
      <c r="B21" s="123"/>
    </row>
    <row r="22" spans="2:2" x14ac:dyDescent="0.25">
      <c r="B22" s="123"/>
    </row>
    <row r="23" spans="2:2" x14ac:dyDescent="0.25">
      <c r="B23" s="123"/>
    </row>
    <row r="24" spans="2:2" x14ac:dyDescent="0.25">
      <c r="B24" s="123"/>
    </row>
    <row r="25" spans="2:2" x14ac:dyDescent="0.25">
      <c r="B25" s="123"/>
    </row>
    <row r="26" spans="2:2" x14ac:dyDescent="0.25">
      <c r="B26" s="123"/>
    </row>
    <row r="27" spans="2:2" x14ac:dyDescent="0.25">
      <c r="B27" s="123"/>
    </row>
    <row r="28" spans="2:2" x14ac:dyDescent="0.25">
      <c r="B28" s="123"/>
    </row>
    <row r="29" spans="2:2" x14ac:dyDescent="0.25">
      <c r="B29" s="123"/>
    </row>
    <row r="30" spans="2:2" x14ac:dyDescent="0.25">
      <c r="B30" s="123"/>
    </row>
    <row r="31" spans="2:2" x14ac:dyDescent="0.25">
      <c r="B31" s="123"/>
    </row>
    <row r="32" spans="2:2" x14ac:dyDescent="0.25">
      <c r="B32" s="123"/>
    </row>
    <row r="33" spans="2:2" x14ac:dyDescent="0.25">
      <c r="B33" s="123"/>
    </row>
    <row r="34" spans="2:2" x14ac:dyDescent="0.25">
      <c r="B34" s="123"/>
    </row>
    <row r="35" spans="2:2" x14ac:dyDescent="0.25">
      <c r="B35" s="123"/>
    </row>
    <row r="36" spans="2:2" x14ac:dyDescent="0.25">
      <c r="B36" s="123"/>
    </row>
    <row r="37" spans="2:2" x14ac:dyDescent="0.25">
      <c r="B37" s="123"/>
    </row>
    <row r="38" spans="2:2" x14ac:dyDescent="0.25">
      <c r="B38" s="123"/>
    </row>
    <row r="39" spans="2:2" x14ac:dyDescent="0.25">
      <c r="B39" s="123"/>
    </row>
    <row r="40" spans="2:2" x14ac:dyDescent="0.25">
      <c r="B40" s="123"/>
    </row>
    <row r="41" spans="2:2" x14ac:dyDescent="0.25">
      <c r="B41" s="123"/>
    </row>
    <row r="42" spans="2:2" x14ac:dyDescent="0.25">
      <c r="B42" s="123"/>
    </row>
    <row r="43" spans="2:2" x14ac:dyDescent="0.25">
      <c r="B43" s="123"/>
    </row>
    <row r="44" spans="2:2" x14ac:dyDescent="0.25">
      <c r="B44" s="123"/>
    </row>
    <row r="45" spans="2:2" x14ac:dyDescent="0.25">
      <c r="B45" s="123"/>
    </row>
    <row r="46" spans="2:2" x14ac:dyDescent="0.25">
      <c r="B46" s="123"/>
    </row>
    <row r="47" spans="2:2" x14ac:dyDescent="0.25">
      <c r="B47" s="123"/>
    </row>
    <row r="48" spans="2:2" x14ac:dyDescent="0.25">
      <c r="B48" s="123"/>
    </row>
    <row r="49" spans="2:2" x14ac:dyDescent="0.25">
      <c r="B49" s="123"/>
    </row>
    <row r="50" spans="2:2" x14ac:dyDescent="0.25">
      <c r="B50" s="123"/>
    </row>
    <row r="51" spans="2:2" x14ac:dyDescent="0.25">
      <c r="B51" s="123"/>
    </row>
    <row r="52" spans="2:2" x14ac:dyDescent="0.25">
      <c r="B52" s="123"/>
    </row>
    <row r="53" spans="2:2" x14ac:dyDescent="0.25">
      <c r="B53" s="123"/>
    </row>
    <row r="54" spans="2:2" x14ac:dyDescent="0.25">
      <c r="B54" s="123"/>
    </row>
    <row r="55" spans="2:2" x14ac:dyDescent="0.25">
      <c r="B55" s="123"/>
    </row>
    <row r="56" spans="2:2" x14ac:dyDescent="0.25">
      <c r="B56" s="123"/>
    </row>
    <row r="57" spans="2:2" x14ac:dyDescent="0.25">
      <c r="B57" s="123"/>
    </row>
    <row r="58" spans="2:2" x14ac:dyDescent="0.25">
      <c r="B58" s="123"/>
    </row>
    <row r="59" spans="2:2" x14ac:dyDescent="0.25">
      <c r="B59" s="123"/>
    </row>
    <row r="60" spans="2:2" x14ac:dyDescent="0.25">
      <c r="B60" s="123"/>
    </row>
    <row r="61" spans="2:2" x14ac:dyDescent="0.25">
      <c r="B61" s="123"/>
    </row>
    <row r="62" spans="2:2" x14ac:dyDescent="0.25">
      <c r="B62" s="123"/>
    </row>
    <row r="63" spans="2:2" x14ac:dyDescent="0.25">
      <c r="B63" s="123"/>
    </row>
    <row r="64" spans="2:2" x14ac:dyDescent="0.25">
      <c r="B64" s="123"/>
    </row>
    <row r="65" spans="2:2" x14ac:dyDescent="0.25">
      <c r="B65" s="123"/>
    </row>
    <row r="66" spans="2:2" x14ac:dyDescent="0.25">
      <c r="B66" s="123"/>
    </row>
    <row r="67" spans="2:2" x14ac:dyDescent="0.25">
      <c r="B67" s="123"/>
    </row>
    <row r="68" spans="2:2" x14ac:dyDescent="0.25">
      <c r="B68" s="123"/>
    </row>
    <row r="69" spans="2:2" x14ac:dyDescent="0.25">
      <c r="B69" s="123"/>
    </row>
    <row r="70" spans="2:2" x14ac:dyDescent="0.25">
      <c r="B70" s="123"/>
    </row>
    <row r="71" spans="2:2" x14ac:dyDescent="0.25">
      <c r="B71" s="123"/>
    </row>
    <row r="72" spans="2:2" x14ac:dyDescent="0.25">
      <c r="B72" s="123"/>
    </row>
    <row r="73" spans="2:2" x14ac:dyDescent="0.25">
      <c r="B73" s="123"/>
    </row>
    <row r="74" spans="2:2" x14ac:dyDescent="0.25">
      <c r="B74" s="123"/>
    </row>
    <row r="75" spans="2:2" x14ac:dyDescent="0.25">
      <c r="B75" s="123"/>
    </row>
    <row r="76" spans="2:2" x14ac:dyDescent="0.25">
      <c r="B76" s="123"/>
    </row>
    <row r="77" spans="2:2" x14ac:dyDescent="0.25">
      <c r="B77" s="123"/>
    </row>
    <row r="78" spans="2:2" x14ac:dyDescent="0.25">
      <c r="B78" s="123"/>
    </row>
    <row r="79" spans="2:2" x14ac:dyDescent="0.25">
      <c r="B79" s="123"/>
    </row>
    <row r="80" spans="2:2" x14ac:dyDescent="0.25">
      <c r="B80" s="123"/>
    </row>
    <row r="81" spans="2:2" x14ac:dyDescent="0.25">
      <c r="B81" s="123"/>
    </row>
    <row r="82" spans="2:2" x14ac:dyDescent="0.25">
      <c r="B82" s="123"/>
    </row>
    <row r="83" spans="2:2" x14ac:dyDescent="0.25">
      <c r="B83" s="123"/>
    </row>
    <row r="84" spans="2:2" x14ac:dyDescent="0.25">
      <c r="B84" s="123"/>
    </row>
    <row r="85" spans="2:2" x14ac:dyDescent="0.25">
      <c r="B85" s="123"/>
    </row>
    <row r="86" spans="2:2" x14ac:dyDescent="0.25">
      <c r="B86" s="123"/>
    </row>
    <row r="87" spans="2:2" x14ac:dyDescent="0.25">
      <c r="B87" s="123"/>
    </row>
    <row r="88" spans="2:2" x14ac:dyDescent="0.25">
      <c r="B88" s="123"/>
    </row>
    <row r="89" spans="2:2" x14ac:dyDescent="0.25">
      <c r="B89" s="123"/>
    </row>
    <row r="90" spans="2:2" x14ac:dyDescent="0.25">
      <c r="B90" s="123"/>
    </row>
    <row r="91" spans="2:2" x14ac:dyDescent="0.25">
      <c r="B91" s="123"/>
    </row>
    <row r="92" spans="2:2" x14ac:dyDescent="0.25">
      <c r="B92" s="123"/>
    </row>
    <row r="93" spans="2:2" x14ac:dyDescent="0.25">
      <c r="B93" s="123"/>
    </row>
    <row r="94" spans="2:2" x14ac:dyDescent="0.25">
      <c r="B94" s="123"/>
    </row>
    <row r="95" spans="2:2" x14ac:dyDescent="0.25">
      <c r="B95" s="123"/>
    </row>
    <row r="96" spans="2:2" x14ac:dyDescent="0.25">
      <c r="B96" s="123"/>
    </row>
    <row r="97" spans="2:2" x14ac:dyDescent="0.25">
      <c r="B97" s="123"/>
    </row>
    <row r="98" spans="2:2" x14ac:dyDescent="0.25">
      <c r="B98" s="123"/>
    </row>
    <row r="99" spans="2:2" x14ac:dyDescent="0.25">
      <c r="B99" s="123"/>
    </row>
    <row r="100" spans="2:2" x14ac:dyDescent="0.25">
      <c r="B100" s="123"/>
    </row>
    <row r="101" spans="2:2" x14ac:dyDescent="0.25">
      <c r="B101" s="123"/>
    </row>
    <row r="102" spans="2:2" x14ac:dyDescent="0.25">
      <c r="B102" s="123"/>
    </row>
    <row r="103" spans="2:2" x14ac:dyDescent="0.25">
      <c r="B103" s="123"/>
    </row>
    <row r="104" spans="2:2" x14ac:dyDescent="0.25">
      <c r="B104" s="123"/>
    </row>
    <row r="105" spans="2:2" x14ac:dyDescent="0.25">
      <c r="B105" s="123"/>
    </row>
    <row r="106" spans="2:2" x14ac:dyDescent="0.25">
      <c r="B106" s="123"/>
    </row>
    <row r="107" spans="2:2" x14ac:dyDescent="0.25">
      <c r="B107" s="123"/>
    </row>
    <row r="108" spans="2:2" x14ac:dyDescent="0.25">
      <c r="B108" s="123"/>
    </row>
    <row r="109" spans="2:2" x14ac:dyDescent="0.25">
      <c r="B109" s="123"/>
    </row>
    <row r="110" spans="2:2" x14ac:dyDescent="0.25">
      <c r="B110" s="123"/>
    </row>
    <row r="111" spans="2:2" x14ac:dyDescent="0.25">
      <c r="B111" s="123"/>
    </row>
    <row r="112" spans="2:2" x14ac:dyDescent="0.25">
      <c r="B112" s="123"/>
    </row>
    <row r="113" spans="2:2" x14ac:dyDescent="0.25">
      <c r="B113" s="123"/>
    </row>
    <row r="114" spans="2:2" x14ac:dyDescent="0.25">
      <c r="B114" s="123"/>
    </row>
    <row r="115" spans="2:2" x14ac:dyDescent="0.25">
      <c r="B115" s="123"/>
    </row>
    <row r="116" spans="2:2" x14ac:dyDescent="0.25">
      <c r="B116" s="123"/>
    </row>
    <row r="117" spans="2:2" x14ac:dyDescent="0.25">
      <c r="B117" s="123"/>
    </row>
    <row r="118" spans="2:2" x14ac:dyDescent="0.25">
      <c r="B118" s="123"/>
    </row>
    <row r="119" spans="2:2" x14ac:dyDescent="0.25">
      <c r="B119" s="123"/>
    </row>
    <row r="120" spans="2:2" x14ac:dyDescent="0.25">
      <c r="B120" s="123"/>
    </row>
    <row r="121" spans="2:2" x14ac:dyDescent="0.25">
      <c r="B121" s="123"/>
    </row>
    <row r="122" spans="2:2" x14ac:dyDescent="0.25">
      <c r="B122" s="123"/>
    </row>
    <row r="123" spans="2:2" x14ac:dyDescent="0.25">
      <c r="B123" s="123"/>
    </row>
    <row r="124" spans="2:2" x14ac:dyDescent="0.25">
      <c r="B124" s="123"/>
    </row>
    <row r="125" spans="2:2" x14ac:dyDescent="0.25">
      <c r="B125" s="123"/>
    </row>
    <row r="126" spans="2:2" x14ac:dyDescent="0.25">
      <c r="B126" s="123"/>
    </row>
    <row r="127" spans="2:2" x14ac:dyDescent="0.25">
      <c r="B127" s="123"/>
    </row>
    <row r="128" spans="2:2" x14ac:dyDescent="0.25">
      <c r="B128" s="123"/>
    </row>
    <row r="129" spans="2:2" x14ac:dyDescent="0.25">
      <c r="B129" s="123"/>
    </row>
    <row r="130" spans="2:2" x14ac:dyDescent="0.25">
      <c r="B130" s="123"/>
    </row>
    <row r="131" spans="2:2" x14ac:dyDescent="0.25">
      <c r="B131" s="123"/>
    </row>
    <row r="132" spans="2:2" x14ac:dyDescent="0.25">
      <c r="B132" s="123"/>
    </row>
    <row r="133" spans="2:2" x14ac:dyDescent="0.25">
      <c r="B133" s="123"/>
    </row>
    <row r="134" spans="2:2" x14ac:dyDescent="0.25">
      <c r="B134" s="123"/>
    </row>
    <row r="135" spans="2:2" x14ac:dyDescent="0.25">
      <c r="B135" s="123"/>
    </row>
    <row r="136" spans="2:2" x14ac:dyDescent="0.25">
      <c r="B136" s="123"/>
    </row>
    <row r="137" spans="2:2" x14ac:dyDescent="0.25">
      <c r="B137" s="123"/>
    </row>
    <row r="138" spans="2:2" x14ac:dyDescent="0.25">
      <c r="B138" s="123"/>
    </row>
    <row r="139" spans="2:2" x14ac:dyDescent="0.25">
      <c r="B139" s="123"/>
    </row>
    <row r="140" spans="2:2" x14ac:dyDescent="0.25">
      <c r="B140" s="123"/>
    </row>
    <row r="141" spans="2:2" x14ac:dyDescent="0.25">
      <c r="B141" s="123"/>
    </row>
    <row r="142" spans="2:2" x14ac:dyDescent="0.25">
      <c r="B142" s="123"/>
    </row>
    <row r="143" spans="2:2" x14ac:dyDescent="0.25">
      <c r="B143" s="123"/>
    </row>
    <row r="144" spans="2:2" x14ac:dyDescent="0.25">
      <c r="B144" s="123"/>
    </row>
    <row r="145" spans="2:2" x14ac:dyDescent="0.25">
      <c r="B145" s="123"/>
    </row>
    <row r="146" spans="2:2" x14ac:dyDescent="0.25">
      <c r="B146" s="123"/>
    </row>
    <row r="147" spans="2:2" x14ac:dyDescent="0.25">
      <c r="B147" s="123"/>
    </row>
    <row r="148" spans="2:2" x14ac:dyDescent="0.25">
      <c r="B148" s="123"/>
    </row>
    <row r="149" spans="2:2" x14ac:dyDescent="0.25">
      <c r="B149" s="123"/>
    </row>
    <row r="150" spans="2:2" x14ac:dyDescent="0.25">
      <c r="B150" s="123"/>
    </row>
    <row r="151" spans="2:2" x14ac:dyDescent="0.25">
      <c r="B151" s="123"/>
    </row>
    <row r="152" spans="2:2" x14ac:dyDescent="0.25">
      <c r="B152" s="123"/>
    </row>
    <row r="153" spans="2:2" x14ac:dyDescent="0.25">
      <c r="B153" s="123"/>
    </row>
    <row r="154" spans="2:2" x14ac:dyDescent="0.25">
      <c r="B154" s="123"/>
    </row>
    <row r="155" spans="2:2" x14ac:dyDescent="0.25">
      <c r="B155" s="123"/>
    </row>
    <row r="156" spans="2:2" x14ac:dyDescent="0.25">
      <c r="B156" s="123"/>
    </row>
    <row r="157" spans="2:2" x14ac:dyDescent="0.25">
      <c r="B157" s="123"/>
    </row>
    <row r="158" spans="2:2" x14ac:dyDescent="0.25">
      <c r="B158" s="123"/>
    </row>
    <row r="159" spans="2:2" x14ac:dyDescent="0.25">
      <c r="B159" s="123"/>
    </row>
    <row r="160" spans="2:2" x14ac:dyDescent="0.25">
      <c r="B160" s="123"/>
    </row>
    <row r="161" spans="2:2" x14ac:dyDescent="0.25">
      <c r="B161" s="123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 zoomScale="100" zoomScaleNormal="100">
      <selection activeCell="E3" sqref="E3"/>
    </sheetView>
  </sheetViews>
  <sheetFormatPr defaultRowHeight="15" outlineLevelRow="0" outlineLevelCol="0" x14ac:dyDescent="0" defaultColWidth="11.5"/>
  <cols>
    <col min="1" max="1" width="12.164062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6541.12</v>
      </c>
    </row>
    <row r="2" ht="16" customHeight="1" spans="1:5" x14ac:dyDescent="0.25">
      <c r="A2" s="376" t="s">
        <v>964</v>
      </c>
      <c r="B2" s="390">
        <v>5650</v>
      </c>
      <c r="C2" s="376"/>
      <c r="D2" s="36" t="s">
        <v>898</v>
      </c>
      <c r="E2" s="378">
        <v>8495</v>
      </c>
    </row>
    <row r="3" ht="16" customHeight="1" spans="1:5" x14ac:dyDescent="0.25">
      <c r="A3" s="376" t="s">
        <v>974</v>
      </c>
      <c r="B3" s="379">
        <v>80</v>
      </c>
      <c r="C3" s="376"/>
      <c r="D3" s="36" t="s">
        <v>900</v>
      </c>
      <c r="E3" s="378">
        <f>E2-E1</f>
        <v>1953.88</v>
      </c>
    </row>
    <row r="4" spans="1:2" x14ac:dyDescent="0.25">
      <c r="A4" s="376" t="s">
        <v>943</v>
      </c>
      <c r="B4" s="123">
        <v>65</v>
      </c>
    </row>
    <row r="5" spans="1:2" x14ac:dyDescent="0.25">
      <c r="A5" s="376" t="s">
        <v>975</v>
      </c>
      <c r="B5" s="123">
        <v>9.88</v>
      </c>
    </row>
    <row r="6" spans="1:2" x14ac:dyDescent="0.25">
      <c r="A6" s="376" t="s">
        <v>867</v>
      </c>
      <c r="B6" s="123">
        <v>300</v>
      </c>
    </row>
    <row r="7" spans="1:2" x14ac:dyDescent="0.25">
      <c r="A7" s="376" t="s">
        <v>976</v>
      </c>
      <c r="B7" s="123">
        <v>7.99</v>
      </c>
    </row>
    <row r="8" spans="1:2" x14ac:dyDescent="0.25">
      <c r="A8" s="376" t="s">
        <v>977</v>
      </c>
      <c r="B8" s="123">
        <v>10.99</v>
      </c>
    </row>
    <row r="9" spans="1:2" x14ac:dyDescent="0.25">
      <c r="A9" s="376" t="s">
        <v>969</v>
      </c>
      <c r="B9" s="123">
        <v>8.73</v>
      </c>
    </row>
    <row r="10" spans="1:2" x14ac:dyDescent="0.25">
      <c r="A10" s="376" t="s">
        <v>887</v>
      </c>
      <c r="B10" s="123">
        <v>300</v>
      </c>
    </row>
    <row r="11" spans="1:2" x14ac:dyDescent="0.25">
      <c r="A11" s="376" t="s">
        <v>978</v>
      </c>
      <c r="B11" s="123">
        <v>15.81</v>
      </c>
    </row>
    <row r="12" spans="1:2" x14ac:dyDescent="0.25">
      <c r="A12" s="376" t="s">
        <v>765</v>
      </c>
      <c r="B12" s="123">
        <v>15</v>
      </c>
    </row>
    <row r="13" spans="1:2" x14ac:dyDescent="0.25">
      <c r="A13" s="376" t="s">
        <v>42</v>
      </c>
      <c r="B13" s="123">
        <v>77.72</v>
      </c>
    </row>
    <row r="14" spans="2:2" x14ac:dyDescent="0.25">
      <c r="B14" s="123"/>
    </row>
    <row r="15" spans="2:2" x14ac:dyDescent="0.25">
      <c r="B15" s="123"/>
    </row>
    <row r="16" spans="2:2" x14ac:dyDescent="0.25">
      <c r="B16" s="123"/>
    </row>
    <row r="17" spans="2:2" x14ac:dyDescent="0.25">
      <c r="B17" s="123"/>
    </row>
    <row r="18" spans="2:2" x14ac:dyDescent="0.25">
      <c r="B18" s="123"/>
    </row>
    <row r="19" spans="2:2" x14ac:dyDescent="0.25">
      <c r="B19" s="123"/>
    </row>
    <row r="20" spans="2:2" x14ac:dyDescent="0.25">
      <c r="B20" s="123"/>
    </row>
    <row r="21" spans="2:2" x14ac:dyDescent="0.25">
      <c r="B21" s="123"/>
    </row>
    <row r="22" spans="2:2" x14ac:dyDescent="0.25">
      <c r="B22" s="123"/>
    </row>
    <row r="23" spans="2:2" x14ac:dyDescent="0.25">
      <c r="B23" s="123"/>
    </row>
    <row r="24" spans="2:2" x14ac:dyDescent="0.25">
      <c r="B24" s="123"/>
    </row>
    <row r="25" spans="2:2" x14ac:dyDescent="0.25">
      <c r="B25" s="123"/>
    </row>
    <row r="26" spans="2:2" x14ac:dyDescent="0.25">
      <c r="B26" s="123"/>
    </row>
    <row r="27" spans="2:2" x14ac:dyDescent="0.25">
      <c r="B27" s="123"/>
    </row>
    <row r="28" spans="2:2" x14ac:dyDescent="0.25">
      <c r="B28" s="123"/>
    </row>
    <row r="29" spans="2:2" x14ac:dyDescent="0.25">
      <c r="B29" s="123"/>
    </row>
    <row r="30" spans="2:2" x14ac:dyDescent="0.25">
      <c r="B30" s="123"/>
    </row>
    <row r="31" spans="2:2" x14ac:dyDescent="0.25">
      <c r="B31" s="123"/>
    </row>
    <row r="32" spans="2:2" x14ac:dyDescent="0.25">
      <c r="B32" s="123"/>
    </row>
    <row r="33" spans="2:2" x14ac:dyDescent="0.25">
      <c r="B33" s="123"/>
    </row>
    <row r="34" spans="2:2" x14ac:dyDescent="0.25">
      <c r="B34" s="123"/>
    </row>
    <row r="35" spans="2:2" x14ac:dyDescent="0.25">
      <c r="B35" s="123"/>
    </row>
    <row r="36" spans="2:2" x14ac:dyDescent="0.25">
      <c r="B36" s="123"/>
    </row>
    <row r="37" spans="2:2" x14ac:dyDescent="0.25">
      <c r="B37" s="123"/>
    </row>
    <row r="38" spans="2:2" x14ac:dyDescent="0.25">
      <c r="B38" s="123"/>
    </row>
    <row r="39" spans="2:2" x14ac:dyDescent="0.25">
      <c r="B39" s="123"/>
    </row>
    <row r="40" spans="2:2" x14ac:dyDescent="0.25">
      <c r="B40" s="123"/>
    </row>
    <row r="41" spans="2:2" x14ac:dyDescent="0.25">
      <c r="B41" s="123"/>
    </row>
    <row r="42" spans="2:2" x14ac:dyDescent="0.25">
      <c r="B42" s="123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 zoomScale="112" zoomScaleNormal="100">
      <selection activeCell="B15" sqref="B15"/>
    </sheetView>
  </sheetViews>
  <sheetFormatPr defaultRowHeight="15" outlineLevelRow="0" outlineLevelCol="0" x14ac:dyDescent="0" defaultColWidth="11.5"/>
  <cols>
    <col min="1" max="1" width="15.5" customWidth="1"/>
    <col min="2" max="2" width="10.83203125" style="123" customWidth="1"/>
    <col min="3" max="3" width="33.3320312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6497.88</v>
      </c>
    </row>
    <row r="2" ht="16" customHeight="1" spans="1:5" x14ac:dyDescent="0.25">
      <c r="A2" s="376" t="s">
        <v>964</v>
      </c>
      <c r="B2" s="390">
        <v>5200</v>
      </c>
      <c r="C2" s="376"/>
      <c r="D2" s="36" t="s">
        <v>898</v>
      </c>
      <c r="E2" s="378">
        <v>8650</v>
      </c>
    </row>
    <row r="3" ht="16" customHeight="1" spans="1:5" x14ac:dyDescent="0.25">
      <c r="A3" s="376" t="s">
        <v>899</v>
      </c>
      <c r="B3" s="390">
        <v>346.8</v>
      </c>
      <c r="C3" s="376"/>
      <c r="D3" s="36" t="s">
        <v>900</v>
      </c>
      <c r="E3" s="378">
        <f>E2-E1</f>
        <v>2152.12</v>
      </c>
    </row>
    <row r="4" spans="1:2" x14ac:dyDescent="0.25">
      <c r="A4" s="376" t="s">
        <v>979</v>
      </c>
      <c r="B4" s="90">
        <v>6</v>
      </c>
    </row>
    <row r="5" spans="1:2" x14ac:dyDescent="0.25">
      <c r="A5" s="376" t="s">
        <v>980</v>
      </c>
      <c r="B5" s="123">
        <v>50</v>
      </c>
    </row>
    <row r="6" spans="1:2" x14ac:dyDescent="0.25">
      <c r="A6" s="376" t="s">
        <v>864</v>
      </c>
      <c r="B6" s="123">
        <v>16.38</v>
      </c>
    </row>
    <row r="7" spans="1:2" x14ac:dyDescent="0.25">
      <c r="A7" s="376" t="s">
        <v>981</v>
      </c>
      <c r="B7" s="123">
        <v>70</v>
      </c>
    </row>
    <row r="8" spans="1:2" x14ac:dyDescent="0.25">
      <c r="A8" s="376" t="s">
        <v>982</v>
      </c>
      <c r="B8" s="123">
        <v>25.99</v>
      </c>
    </row>
    <row r="9" spans="1:2" x14ac:dyDescent="0.25">
      <c r="A9" s="376" t="s">
        <v>983</v>
      </c>
      <c r="B9" s="123">
        <v>150</v>
      </c>
    </row>
    <row r="10" spans="1:2" x14ac:dyDescent="0.25">
      <c r="A10" s="376" t="s">
        <v>984</v>
      </c>
      <c r="B10" s="123">
        <v>19.99</v>
      </c>
    </row>
    <row r="11" spans="1:2" x14ac:dyDescent="0.25">
      <c r="A11" s="376" t="s">
        <v>985</v>
      </c>
      <c r="B11" s="123">
        <v>125</v>
      </c>
    </row>
    <row r="12" spans="1:2" x14ac:dyDescent="0.25">
      <c r="A12" s="376" t="s">
        <v>901</v>
      </c>
      <c r="B12" s="123">
        <v>10</v>
      </c>
    </row>
    <row r="13" ht="16" customHeight="1" spans="1:2" x14ac:dyDescent="0.25">
      <c r="A13" s="391" t="s">
        <v>951</v>
      </c>
      <c r="B13" s="123">
        <v>400</v>
      </c>
    </row>
    <row r="14" spans="1:2" x14ac:dyDescent="0.25">
      <c r="A14" s="376" t="s">
        <v>42</v>
      </c>
      <c r="B14" s="123">
        <v>77.72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 zoomScale="100" zoomScaleNormal="100">
      <selection activeCell="B12" sqref="B12"/>
    </sheetView>
  </sheetViews>
  <sheetFormatPr defaultRowHeight="15" outlineLevelRow="0" outlineLevelCol="0" x14ac:dyDescent="0" defaultColWidth="8.83203125"/>
  <cols>
    <col min="1" max="1" width="8.33203125" customWidth="1"/>
    <col min="2" max="2" width="10.33203125" style="90" customWidth="1"/>
    <col min="4" max="6" width="11.8320312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4014.6099999999997</v>
      </c>
    </row>
    <row r="2" ht="16" customHeight="1" spans="1:5" x14ac:dyDescent="0.25">
      <c r="A2" s="376" t="s">
        <v>964</v>
      </c>
      <c r="B2" s="390">
        <v>900</v>
      </c>
      <c r="C2" s="376"/>
      <c r="D2" s="36" t="s">
        <v>898</v>
      </c>
      <c r="E2" s="378">
        <v>6800</v>
      </c>
    </row>
    <row r="3" ht="16" customHeight="1" spans="1:5" x14ac:dyDescent="0.25">
      <c r="A3" s="376" t="s">
        <v>899</v>
      </c>
      <c r="B3" s="390">
        <v>322.8</v>
      </c>
      <c r="C3" s="376"/>
      <c r="D3" s="36" t="s">
        <v>900</v>
      </c>
      <c r="E3" s="378">
        <f>E2-E1</f>
        <v>2785.3900000000003</v>
      </c>
    </row>
    <row r="4" spans="1:2" x14ac:dyDescent="0.25">
      <c r="A4" s="376" t="s">
        <v>986</v>
      </c>
      <c r="B4" s="90">
        <v>120</v>
      </c>
    </row>
    <row r="5" spans="1:2" x14ac:dyDescent="0.25">
      <c r="A5" s="376" t="s">
        <v>909</v>
      </c>
      <c r="B5" s="90">
        <v>8</v>
      </c>
    </row>
    <row r="6" spans="1:2" x14ac:dyDescent="0.25">
      <c r="A6" s="376" t="s">
        <v>864</v>
      </c>
      <c r="B6" s="90">
        <v>5.75</v>
      </c>
    </row>
    <row r="7" spans="1:2" x14ac:dyDescent="0.25">
      <c r="A7" t="s">
        <v>987</v>
      </c>
      <c r="B7" s="90">
        <v>2500</v>
      </c>
    </row>
    <row r="8" spans="1:2" x14ac:dyDescent="0.25">
      <c r="A8" s="376" t="s">
        <v>42</v>
      </c>
      <c r="B8" s="90">
        <v>77.72</v>
      </c>
    </row>
    <row r="9" spans="1:2" x14ac:dyDescent="0.25">
      <c r="A9" s="376" t="s">
        <v>901</v>
      </c>
      <c r="B9" s="90">
        <v>8.36</v>
      </c>
    </row>
    <row r="10" spans="1:2" x14ac:dyDescent="0.25">
      <c r="A10" s="376" t="s">
        <v>988</v>
      </c>
      <c r="B10" s="90">
        <v>26.99</v>
      </c>
    </row>
    <row r="11" spans="1:2" x14ac:dyDescent="0.25">
      <c r="A11" s="376" t="s">
        <v>989</v>
      </c>
      <c r="B11" s="90">
        <v>44.99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 zoomScale="100" zoomScaleNormal="100">
      <selection activeCell="A12" sqref="A12"/>
    </sheetView>
  </sheetViews>
  <sheetFormatPr defaultRowHeight="15" outlineLevelRow="0" outlineLevelCol="0" x14ac:dyDescent="0" defaultColWidth="8.83203125"/>
  <cols>
    <col min="1" max="1" width="12.6640625" customWidth="1"/>
    <col min="2" max="2" width="10.33203125" style="90" customWidth="1"/>
    <col min="4" max="6" width="11.8320312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6493.7</v>
      </c>
    </row>
    <row r="2" ht="16" customHeight="1" spans="1:5" x14ac:dyDescent="0.25">
      <c r="A2" s="376" t="s">
        <v>964</v>
      </c>
      <c r="B2" s="390">
        <v>5500</v>
      </c>
      <c r="C2" s="376"/>
      <c r="D2" s="36" t="s">
        <v>898</v>
      </c>
      <c r="E2" s="378">
        <v>8465</v>
      </c>
    </row>
    <row r="3" ht="16" customHeight="1" spans="1:5" x14ac:dyDescent="0.25">
      <c r="A3" s="376" t="s">
        <v>899</v>
      </c>
      <c r="B3" s="390">
        <v>346.8</v>
      </c>
      <c r="C3" s="376"/>
      <c r="D3" s="36" t="s">
        <v>900</v>
      </c>
      <c r="E3" s="378">
        <f>E2-E1</f>
        <v>1971.3000000000002</v>
      </c>
    </row>
    <row r="4" spans="1:2" x14ac:dyDescent="0.25">
      <c r="A4" s="376" t="s">
        <v>990</v>
      </c>
      <c r="B4" s="90">
        <v>50</v>
      </c>
    </row>
    <row r="5" spans="1:2" x14ac:dyDescent="0.25">
      <c r="A5" s="376" t="s">
        <v>870</v>
      </c>
      <c r="B5" s="90">
        <v>40</v>
      </c>
    </row>
    <row r="6" spans="1:2" x14ac:dyDescent="0.25">
      <c r="A6" s="376" t="s">
        <v>864</v>
      </c>
      <c r="B6" s="90">
        <v>9.29</v>
      </c>
    </row>
    <row r="7" spans="1:2" x14ac:dyDescent="0.25">
      <c r="A7" s="376" t="s">
        <v>765</v>
      </c>
      <c r="B7" s="90">
        <v>15</v>
      </c>
    </row>
    <row r="8" spans="1:2" x14ac:dyDescent="0.25">
      <c r="A8" s="376" t="s">
        <v>864</v>
      </c>
      <c r="B8" s="90">
        <v>9.22</v>
      </c>
    </row>
    <row r="9" spans="1:2" x14ac:dyDescent="0.25">
      <c r="A9" s="376" t="s">
        <v>991</v>
      </c>
      <c r="B9" s="90">
        <v>3.44</v>
      </c>
    </row>
    <row r="10" spans="1:2" x14ac:dyDescent="0.25">
      <c r="A10" s="376" t="s">
        <v>917</v>
      </c>
      <c r="B10" s="90">
        <v>69.95</v>
      </c>
    </row>
    <row r="11" spans="1:2" x14ac:dyDescent="0.25">
      <c r="A11" s="376" t="s">
        <v>910</v>
      </c>
      <c r="B11" s="90">
        <v>450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 zoomScale="100" zoomScaleNormal="100">
      <selection activeCell="F2" sqref="F2"/>
    </sheetView>
  </sheetViews>
  <sheetFormatPr defaultRowHeight="15" outlineLevelRow="0" outlineLevelCol="0" x14ac:dyDescent="0" defaultColWidth="8.83203125"/>
  <cols>
    <col min="2" max="2" width="10.33203125" style="90" customWidth="1"/>
    <col min="4" max="4" width="11.83203125" customWidth="1"/>
    <col min="5" max="5" width="14.8320312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7573.46</v>
      </c>
    </row>
    <row r="2" ht="16" customHeight="1" spans="1:5" x14ac:dyDescent="0.25">
      <c r="A2" s="376" t="s">
        <v>964</v>
      </c>
      <c r="B2" s="390">
        <v>5000</v>
      </c>
      <c r="C2" s="376"/>
      <c r="D2" s="36" t="s">
        <v>898</v>
      </c>
      <c r="E2" s="378"/>
    </row>
    <row r="3" ht="16" customHeight="1" spans="1:5" x14ac:dyDescent="0.25">
      <c r="A3" s="376" t="s">
        <v>899</v>
      </c>
      <c r="B3" s="390">
        <v>382.5</v>
      </c>
      <c r="C3" s="376"/>
      <c r="D3" s="36" t="s">
        <v>900</v>
      </c>
      <c r="E3" s="378">
        <f>E2-E1</f>
        <v>-7573.46</v>
      </c>
    </row>
    <row r="4" spans="1:2" x14ac:dyDescent="0.25">
      <c r="A4" s="376" t="s">
        <v>907</v>
      </c>
      <c r="B4" s="90">
        <v>51.48</v>
      </c>
    </row>
    <row r="5" spans="1:2" x14ac:dyDescent="0.25">
      <c r="A5" s="376" t="s">
        <v>559</v>
      </c>
      <c r="B5" s="90">
        <v>38.11</v>
      </c>
    </row>
    <row r="6" spans="1:2" x14ac:dyDescent="0.25">
      <c r="A6" s="376" t="s">
        <v>560</v>
      </c>
      <c r="B6" s="90">
        <f>19.22/2</f>
        <v>9.61</v>
      </c>
    </row>
    <row r="7" spans="1:2" x14ac:dyDescent="0.25">
      <c r="A7" s="376" t="s">
        <v>992</v>
      </c>
      <c r="B7" s="90">
        <v>180</v>
      </c>
    </row>
    <row r="8" spans="1:2" x14ac:dyDescent="0.25">
      <c r="A8" s="376" t="s">
        <v>870</v>
      </c>
      <c r="B8" s="90">
        <v>40</v>
      </c>
    </row>
    <row r="9" spans="1:2" x14ac:dyDescent="0.25">
      <c r="A9" s="376" t="s">
        <v>993</v>
      </c>
      <c r="B9" s="90">
        <v>720</v>
      </c>
    </row>
    <row r="10" spans="1:2" x14ac:dyDescent="0.25">
      <c r="A10" s="376" t="s">
        <v>901</v>
      </c>
      <c r="B10" s="90">
        <v>13.52</v>
      </c>
    </row>
    <row r="11" spans="1:2" x14ac:dyDescent="0.25">
      <c r="A11" s="376" t="s">
        <v>765</v>
      </c>
      <c r="B11" s="90">
        <v>12</v>
      </c>
    </row>
    <row r="12" spans="1:2" x14ac:dyDescent="0.25">
      <c r="A12" s="376" t="s">
        <v>864</v>
      </c>
      <c r="B12" s="90">
        <v>15.39</v>
      </c>
    </row>
    <row r="13" spans="1:2" x14ac:dyDescent="0.25">
      <c r="A13" t="s">
        <v>920</v>
      </c>
      <c r="B13" s="90">
        <v>700</v>
      </c>
    </row>
    <row r="14" spans="1:8" x14ac:dyDescent="0.25">
      <c r="A14" s="376" t="s">
        <v>994</v>
      </c>
      <c r="B14" s="90">
        <v>318</v>
      </c>
      <c r="H14" t="s">
        <v>995</v>
      </c>
    </row>
    <row r="15" spans="1:8" x14ac:dyDescent="0.25">
      <c r="A15" s="376" t="s">
        <v>945</v>
      </c>
      <c r="B15" s="90">
        <v>92.85</v>
      </c>
      <c r="G15" t="s">
        <v>864</v>
      </c>
      <c r="H15">
        <v>8.89</v>
      </c>
    </row>
    <row r="16" spans="7:8" x14ac:dyDescent="0.25">
      <c r="G16" t="s">
        <v>864</v>
      </c>
      <c r="H16">
        <v>45.19</v>
      </c>
    </row>
    <row r="17" spans="7:8" x14ac:dyDescent="0.25">
      <c r="G17" t="s">
        <v>864</v>
      </c>
      <c r="H17">
        <v>70.04</v>
      </c>
    </row>
    <row r="18" spans="7:8" x14ac:dyDescent="0.25">
      <c r="G18" t="s">
        <v>996</v>
      </c>
      <c r="H18" s="392">
        <f>SUM(H15:H17)</f>
        <v>124.12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 zoomScale="100" zoomScaleNormal="100">
      <selection activeCell="C9" sqref="C9"/>
    </sheetView>
  </sheetViews>
  <sheetFormatPr defaultRowHeight="15" outlineLevelRow="0" outlineLevelCol="0" x14ac:dyDescent="0" defaultColWidth="8.83203125"/>
  <cols>
    <col min="2" max="2" width="10.33203125" style="90" customWidth="1"/>
    <col min="4" max="4" width="13.83203125" customWidth="1"/>
    <col min="5" max="5" width="9.3320312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3730.74</v>
      </c>
    </row>
    <row r="2" ht="16" customHeight="1" spans="1:5" x14ac:dyDescent="0.25">
      <c r="A2" s="376" t="s">
        <v>964</v>
      </c>
      <c r="B2" s="390">
        <v>3535</v>
      </c>
      <c r="C2" s="376"/>
      <c r="D2" s="36" t="s">
        <v>898</v>
      </c>
      <c r="E2" s="378">
        <v>5400</v>
      </c>
    </row>
    <row r="3" ht="16" customHeight="1" spans="1:5" x14ac:dyDescent="0.25">
      <c r="A3" s="376" t="s">
        <v>573</v>
      </c>
      <c r="B3" s="390">
        <v>13.66</v>
      </c>
      <c r="C3" s="376"/>
      <c r="D3" s="36" t="s">
        <v>900</v>
      </c>
      <c r="E3" s="378">
        <f>E2-E1</f>
        <v>1669.2600000000002</v>
      </c>
    </row>
    <row r="4" spans="1:2" x14ac:dyDescent="0.25">
      <c r="A4" s="376" t="s">
        <v>559</v>
      </c>
      <c r="B4" s="90">
        <v>38.11</v>
      </c>
    </row>
    <row r="5" spans="1:2" x14ac:dyDescent="0.25">
      <c r="A5" s="376" t="s">
        <v>560</v>
      </c>
      <c r="B5" s="90">
        <f>19.22/2</f>
        <v>9.61</v>
      </c>
    </row>
    <row r="6" spans="1:2" x14ac:dyDescent="0.25">
      <c r="A6" s="376" t="s">
        <v>573</v>
      </c>
      <c r="B6" s="90">
        <v>16.41</v>
      </c>
    </row>
    <row r="7" spans="1:2" x14ac:dyDescent="0.25">
      <c r="A7" s="376" t="s">
        <v>765</v>
      </c>
      <c r="B7" s="90">
        <v>8</v>
      </c>
    </row>
    <row r="8" spans="1:2" x14ac:dyDescent="0.25">
      <c r="A8" s="376" t="s">
        <v>997</v>
      </c>
      <c r="B8" s="90">
        <v>40</v>
      </c>
    </row>
    <row r="9" spans="1:2" x14ac:dyDescent="0.25">
      <c r="A9" s="376" t="s">
        <v>42</v>
      </c>
      <c r="B9" s="90">
        <v>69.95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 zoomScale="100" zoomScaleNormal="100">
      <selection activeCell="E9" sqref="E9"/>
    </sheetView>
  </sheetViews>
  <sheetFormatPr defaultRowHeight="15" outlineLevelRow="0" outlineLevelCol="0" x14ac:dyDescent="0" defaultColWidth="8.83203125"/>
  <cols>
    <col min="2" max="2" width="10.33203125" customWidth="1"/>
    <col min="4" max="4" width="11.33203125" customWidth="1"/>
    <col min="5" max="5" width="14.164062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4528.8</v>
      </c>
    </row>
    <row r="2" ht="16" customHeight="1" spans="1:5" x14ac:dyDescent="0.25">
      <c r="A2" s="376" t="s">
        <v>964</v>
      </c>
      <c r="B2" s="390">
        <v>4000</v>
      </c>
      <c r="C2" s="376"/>
      <c r="D2" s="36" t="s">
        <v>898</v>
      </c>
      <c r="E2" s="378">
        <v>6595</v>
      </c>
    </row>
    <row r="3" ht="16" customHeight="1" spans="1:5" x14ac:dyDescent="0.25">
      <c r="A3" s="376" t="s">
        <v>899</v>
      </c>
      <c r="B3" s="390">
        <v>358.8</v>
      </c>
      <c r="C3" s="376"/>
      <c r="D3" s="36" t="s">
        <v>900</v>
      </c>
      <c r="E3" s="378">
        <f>E2-E1</f>
        <v>2066.2</v>
      </c>
    </row>
    <row r="4" ht="32" customHeight="1" spans="1:5" x14ac:dyDescent="0.25">
      <c r="A4" s="376" t="s">
        <v>864</v>
      </c>
      <c r="B4" s="90">
        <v>24.43</v>
      </c>
      <c r="D4" s="36" t="s">
        <v>33</v>
      </c>
      <c r="E4" s="382">
        <f>E3/2</f>
        <v>1033.1</v>
      </c>
    </row>
    <row r="5" spans="1:2" x14ac:dyDescent="0.25">
      <c r="A5" s="376" t="s">
        <v>573</v>
      </c>
      <c r="B5" s="90">
        <v>14.32</v>
      </c>
    </row>
    <row r="6" spans="1:2" x14ac:dyDescent="0.25">
      <c r="A6" s="376" t="s">
        <v>559</v>
      </c>
      <c r="B6" s="90">
        <f>26.6/2</f>
        <v>13.3</v>
      </c>
    </row>
    <row r="7" spans="1:2" x14ac:dyDescent="0.25">
      <c r="A7" s="376" t="s">
        <v>750</v>
      </c>
      <c r="B7" s="90">
        <v>40</v>
      </c>
    </row>
    <row r="8" spans="1:2" x14ac:dyDescent="0.25">
      <c r="A8" s="376" t="s">
        <v>765</v>
      </c>
      <c r="B8" s="90">
        <v>8</v>
      </c>
    </row>
    <row r="9" spans="1:2" x14ac:dyDescent="0.25">
      <c r="A9" s="376" t="s">
        <v>42</v>
      </c>
      <c r="B9" s="393">
        <v>69.95</v>
      </c>
    </row>
    <row r="10" spans="2:2" x14ac:dyDescent="0.25">
      <c r="B10" s="90"/>
    </row>
    <row r="11" spans="2:2" x14ac:dyDescent="0.25">
      <c r="B11" s="90"/>
    </row>
    <row r="12" spans="2:2" x14ac:dyDescent="0.25">
      <c r="B12" s="90"/>
    </row>
    <row r="13" spans="2:2" x14ac:dyDescent="0.25">
      <c r="B13" s="90"/>
    </row>
    <row r="14" spans="2:2" x14ac:dyDescent="0.25">
      <c r="B14" s="90"/>
    </row>
    <row r="15" spans="2:2" x14ac:dyDescent="0.25">
      <c r="B15" s="90"/>
    </row>
    <row r="16" spans="2:2" x14ac:dyDescent="0.25">
      <c r="B16" s="90"/>
    </row>
    <row r="17" spans="2:2" x14ac:dyDescent="0.25">
      <c r="B17" s="90"/>
    </row>
    <row r="18" spans="2:2" x14ac:dyDescent="0.25">
      <c r="B18" s="90"/>
    </row>
    <row r="19" spans="2:2" x14ac:dyDescent="0.25">
      <c r="B19" s="90"/>
    </row>
    <row r="20" spans="2:2" x14ac:dyDescent="0.25">
      <c r="B20" s="90"/>
    </row>
    <row r="21" spans="2:2" x14ac:dyDescent="0.25">
      <c r="B21" s="90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 zoomScale="100" zoomScaleNormal="100">
      <selection activeCell="T27" sqref="T27"/>
    </sheetView>
  </sheetViews>
  <sheetFormatPr defaultRowHeight="15" outlineLevelRow="0" outlineLevelCol="0" x14ac:dyDescent="0" defaultColWidth="8.83203125"/>
  <cols>
    <col min="2" max="2" width="12.1640625" customWidth="1"/>
    <col min="5" max="5" width="12.164062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2850.7099999999996</v>
      </c>
    </row>
    <row r="2" ht="16" customHeight="1" spans="1:5" x14ac:dyDescent="0.25">
      <c r="A2" s="376" t="s">
        <v>964</v>
      </c>
      <c r="B2" s="390">
        <v>1200</v>
      </c>
      <c r="C2" s="376"/>
      <c r="D2" s="36" t="s">
        <v>898</v>
      </c>
      <c r="E2" s="378">
        <v>5375</v>
      </c>
    </row>
    <row r="3" ht="32" customHeight="1" spans="1:5" x14ac:dyDescent="0.25">
      <c r="A3" s="376" t="s">
        <v>899</v>
      </c>
      <c r="B3" s="390">
        <f>269*1.2</f>
        <v>322.8</v>
      </c>
      <c r="C3" s="376"/>
      <c r="D3" s="36" t="s">
        <v>900</v>
      </c>
      <c r="E3" s="378">
        <f>E2-E1</f>
        <v>2524.2900000000004</v>
      </c>
    </row>
    <row r="4" spans="1:2" x14ac:dyDescent="0.25">
      <c r="A4" s="376" t="s">
        <v>573</v>
      </c>
      <c r="B4" s="90">
        <v>30.51</v>
      </c>
    </row>
    <row r="5" spans="1:2" x14ac:dyDescent="0.25">
      <c r="A5" s="376" t="s">
        <v>864</v>
      </c>
      <c r="B5" s="90">
        <v>24.77</v>
      </c>
    </row>
    <row r="6" spans="1:2" x14ac:dyDescent="0.25">
      <c r="A6" s="376" t="s">
        <v>560</v>
      </c>
      <c r="B6" s="90">
        <v>15.98</v>
      </c>
    </row>
    <row r="7" spans="1:2" x14ac:dyDescent="0.25">
      <c r="A7" s="376" t="s">
        <v>559</v>
      </c>
      <c r="B7" s="90">
        <f>26.6/2</f>
        <v>13.3</v>
      </c>
    </row>
    <row r="8" spans="1:2" x14ac:dyDescent="0.25">
      <c r="A8" s="376" t="s">
        <v>750</v>
      </c>
      <c r="B8" s="90">
        <v>40</v>
      </c>
    </row>
    <row r="9" spans="1:2" x14ac:dyDescent="0.25">
      <c r="A9" s="376" t="s">
        <v>573</v>
      </c>
      <c r="B9" s="90">
        <v>13.68</v>
      </c>
    </row>
    <row r="10" spans="1:2" x14ac:dyDescent="0.25">
      <c r="A10" s="376" t="s">
        <v>924</v>
      </c>
      <c r="B10" s="90">
        <v>20.95</v>
      </c>
    </row>
    <row r="11" spans="1:2" x14ac:dyDescent="0.25">
      <c r="A11" s="376" t="s">
        <v>887</v>
      </c>
      <c r="B11" s="90">
        <v>940</v>
      </c>
    </row>
    <row r="12" spans="1:2" x14ac:dyDescent="0.25">
      <c r="A12" s="376" t="s">
        <v>998</v>
      </c>
      <c r="B12" s="90">
        <v>5.88</v>
      </c>
    </row>
    <row r="13" spans="1:2" x14ac:dyDescent="0.25">
      <c r="A13" s="376" t="s">
        <v>999</v>
      </c>
      <c r="B13" s="90">
        <v>13.99</v>
      </c>
    </row>
    <row r="14" spans="1:2" x14ac:dyDescent="0.25">
      <c r="A14" s="376" t="s">
        <v>1000</v>
      </c>
      <c r="B14" s="90">
        <v>3.61</v>
      </c>
    </row>
    <row r="15" spans="1:2" x14ac:dyDescent="0.25">
      <c r="A15" s="376" t="s">
        <v>1001</v>
      </c>
      <c r="B15" s="90">
        <v>3.09</v>
      </c>
    </row>
    <row r="16" spans="1:2" x14ac:dyDescent="0.25">
      <c r="A16" s="376" t="s">
        <v>864</v>
      </c>
      <c r="B16" s="90">
        <v>5.31</v>
      </c>
    </row>
    <row r="17" spans="1:2" x14ac:dyDescent="0.25">
      <c r="A17" s="376" t="s">
        <v>1002</v>
      </c>
      <c r="B17" s="90">
        <v>120</v>
      </c>
    </row>
    <row r="18" spans="1:2" x14ac:dyDescent="0.25">
      <c r="A18" s="376" t="s">
        <v>864</v>
      </c>
      <c r="B18" s="90">
        <v>6.89</v>
      </c>
    </row>
    <row r="19" spans="1:2" x14ac:dyDescent="0.25">
      <c r="A19" s="376" t="s">
        <v>42</v>
      </c>
      <c r="B19" s="90">
        <v>69.95</v>
      </c>
    </row>
    <row r="20" spans="2:2" x14ac:dyDescent="0.25">
      <c r="B20" s="90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 zoomScale="100" zoomScaleNormal="100">
      <selection activeCell="A11" sqref="A11"/>
    </sheetView>
  </sheetViews>
  <sheetFormatPr defaultRowHeight="15" outlineLevelRow="0" outlineLevelCol="0" x14ac:dyDescent="0" defaultColWidth="8.83203125"/>
  <cols>
    <col min="1" max="2" width="10.33203125" customWidth="1"/>
    <col min="5" max="5" width="9.33203125" customWidth="1"/>
    <col min="7" max="7" width="13.83203125" customWidth="1"/>
  </cols>
  <sheetData>
    <row r="1" ht="16" customHeight="1" spans="1:8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6270.680000000001</v>
      </c>
      <c r="G1" t="s">
        <v>1003</v>
      </c>
      <c r="H1" s="123">
        <v>599</v>
      </c>
    </row>
    <row r="2" ht="16" customHeight="1" spans="1:8" x14ac:dyDescent="0.25">
      <c r="A2" s="376" t="s">
        <v>964</v>
      </c>
      <c r="B2" s="390">
        <v>5000</v>
      </c>
      <c r="C2" s="376"/>
      <c r="D2" s="36" t="s">
        <v>898</v>
      </c>
      <c r="E2" s="378">
        <v>8400</v>
      </c>
      <c r="G2" t="s">
        <v>864</v>
      </c>
      <c r="H2" s="123">
        <v>77.21</v>
      </c>
    </row>
    <row r="3" ht="32" customHeight="1" spans="1:8" x14ac:dyDescent="0.25">
      <c r="A3" s="376" t="s">
        <v>899</v>
      </c>
      <c r="B3" s="390">
        <f>370.8+12</f>
        <v>382.8</v>
      </c>
      <c r="C3" s="376"/>
      <c r="D3" s="36" t="s">
        <v>900</v>
      </c>
      <c r="E3" s="378">
        <f>E2-E1</f>
        <v>2129.319999999999</v>
      </c>
      <c r="G3" t="s">
        <v>864</v>
      </c>
      <c r="H3" s="123">
        <v>10.75</v>
      </c>
    </row>
    <row r="4" spans="1:8" x14ac:dyDescent="0.25">
      <c r="A4" s="376" t="s">
        <v>570</v>
      </c>
      <c r="B4" s="90">
        <v>50</v>
      </c>
      <c r="G4" t="s">
        <v>902</v>
      </c>
      <c r="H4" s="123">
        <v>11.4</v>
      </c>
    </row>
    <row r="5" spans="1:8" x14ac:dyDescent="0.25">
      <c r="A5" s="376" t="s">
        <v>887</v>
      </c>
      <c r="B5" s="90">
        <v>120</v>
      </c>
      <c r="H5" s="123"/>
    </row>
    <row r="6" spans="1:8" x14ac:dyDescent="0.25">
      <c r="A6" s="376" t="s">
        <v>1004</v>
      </c>
      <c r="B6" s="90">
        <v>36.22</v>
      </c>
      <c r="G6" t="s">
        <v>1005</v>
      </c>
      <c r="H6" s="123">
        <f>H1-SUM(H2:H4)</f>
        <v>499.64</v>
      </c>
    </row>
    <row r="7" spans="1:2" x14ac:dyDescent="0.25">
      <c r="A7" s="376" t="s">
        <v>765</v>
      </c>
      <c r="B7" s="90">
        <v>10</v>
      </c>
    </row>
    <row r="8" spans="1:2" x14ac:dyDescent="0.25">
      <c r="A8" s="376" t="s">
        <v>864</v>
      </c>
      <c r="B8" s="90">
        <v>10.31</v>
      </c>
    </row>
    <row r="9" spans="1:2" x14ac:dyDescent="0.25">
      <c r="A9" s="376" t="s">
        <v>42</v>
      </c>
      <c r="B9" s="90">
        <v>86.35</v>
      </c>
    </row>
    <row r="10" spans="1:2" x14ac:dyDescent="0.25">
      <c r="A10" s="376" t="s">
        <v>1006</v>
      </c>
      <c r="B10" s="90">
        <v>575</v>
      </c>
    </row>
    <row r="11" spans="2:2" x14ac:dyDescent="0.25">
      <c r="B11" s="90"/>
    </row>
    <row r="12" spans="2:2" x14ac:dyDescent="0.25">
      <c r="B12" s="90"/>
    </row>
    <row r="13" spans="2:2" x14ac:dyDescent="0.25">
      <c r="B13" s="90"/>
    </row>
    <row r="14" spans="2:2" x14ac:dyDescent="0.25">
      <c r="B14" s="90"/>
    </row>
    <row r="15" spans="2:2" x14ac:dyDescent="0.25">
      <c r="B15" s="90"/>
    </row>
    <row r="16" spans="2:2" x14ac:dyDescent="0.25">
      <c r="B16" s="90"/>
    </row>
    <row r="17" spans="2:2" x14ac:dyDescent="0.25">
      <c r="B17" s="90"/>
    </row>
    <row r="18" spans="2:2" x14ac:dyDescent="0.25">
      <c r="B18" s="90"/>
    </row>
    <row r="19" spans="2:2" x14ac:dyDescent="0.25">
      <c r="B19" s="90"/>
    </row>
    <row r="20" spans="2:2" x14ac:dyDescent="0.25">
      <c r="B20" s="90"/>
    </row>
    <row r="21" spans="2:2" x14ac:dyDescent="0.25">
      <c r="B21" s="90"/>
    </row>
    <row r="22" spans="2:2" x14ac:dyDescent="0.25">
      <c r="B22" s="90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 zoomScale="100" zoomScaleNormal="100">
      <selection activeCell="C13" sqref="C13"/>
    </sheetView>
  </sheetViews>
  <sheetFormatPr defaultRowHeight="15" outlineLevelRow="0" outlineLevelCol="0" x14ac:dyDescent="0" defaultColWidth="8.83203125"/>
  <cols>
    <col min="1" max="1" width="15.5" customWidth="1"/>
    <col min="2" max="2" width="10.33203125" customWidth="1"/>
    <col min="5" max="5" width="13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6647.900000000001</v>
      </c>
    </row>
    <row r="2" ht="16" customHeight="1" spans="1:5" x14ac:dyDescent="0.25">
      <c r="A2" s="376" t="s">
        <v>964</v>
      </c>
      <c r="B2" s="390">
        <v>5750</v>
      </c>
      <c r="C2" s="376"/>
      <c r="D2" s="36" t="s">
        <v>898</v>
      </c>
      <c r="E2" s="378">
        <v>9050</v>
      </c>
    </row>
    <row r="3" ht="32" customHeight="1" spans="1:5" x14ac:dyDescent="0.25">
      <c r="A3" s="376" t="s">
        <v>899</v>
      </c>
      <c r="B3" s="390">
        <v>370.8</v>
      </c>
      <c r="C3" s="376"/>
      <c r="D3" s="36" t="s">
        <v>900</v>
      </c>
      <c r="E3" s="378">
        <f>E2-E1</f>
        <v>2402.0999999999995</v>
      </c>
    </row>
    <row r="4" spans="1:5" x14ac:dyDescent="0.25">
      <c r="A4" s="376" t="s">
        <v>1007</v>
      </c>
      <c r="B4" s="90">
        <v>41.99</v>
      </c>
      <c r="E4" s="382">
        <f>E3/2</f>
        <v>1201.0499999999997</v>
      </c>
    </row>
    <row r="5" spans="1:2" x14ac:dyDescent="0.25">
      <c r="A5" s="376" t="s">
        <v>572</v>
      </c>
      <c r="B5" s="90">
        <v>7</v>
      </c>
    </row>
    <row r="6" spans="1:2" x14ac:dyDescent="0.25">
      <c r="A6" s="376" t="s">
        <v>573</v>
      </c>
      <c r="B6" s="90">
        <v>39.21</v>
      </c>
    </row>
    <row r="7" spans="1:2" x14ac:dyDescent="0.25">
      <c r="A7" s="376" t="s">
        <v>864</v>
      </c>
      <c r="B7" s="90">
        <v>66.33</v>
      </c>
    </row>
    <row r="8" spans="1:2" x14ac:dyDescent="0.25">
      <c r="A8" s="376" t="s">
        <v>573</v>
      </c>
      <c r="B8" s="90">
        <v>27.76</v>
      </c>
    </row>
    <row r="9" spans="1:2" x14ac:dyDescent="0.25">
      <c r="A9" s="376" t="s">
        <v>1008</v>
      </c>
      <c r="B9" s="90">
        <v>10.5</v>
      </c>
    </row>
    <row r="10" spans="1:2" x14ac:dyDescent="0.25">
      <c r="A10" s="376" t="s">
        <v>867</v>
      </c>
      <c r="B10" s="90">
        <v>220</v>
      </c>
    </row>
    <row r="11" spans="1:2" x14ac:dyDescent="0.25">
      <c r="A11" s="376" t="s">
        <v>765</v>
      </c>
      <c r="B11" s="90">
        <v>20</v>
      </c>
    </row>
    <row r="12" spans="1:2" x14ac:dyDescent="0.25">
      <c r="A12" s="376" t="s">
        <v>901</v>
      </c>
      <c r="B12" s="90">
        <v>6</v>
      </c>
    </row>
    <row r="13" spans="1:2" x14ac:dyDescent="0.25">
      <c r="A13" s="376" t="s">
        <v>864</v>
      </c>
      <c r="B13" s="90">
        <v>10.59</v>
      </c>
    </row>
    <row r="14" spans="1:2" x14ac:dyDescent="0.25">
      <c r="A14" s="376" t="s">
        <v>42</v>
      </c>
      <c r="B14" s="90">
        <v>77.72</v>
      </c>
    </row>
    <row r="15" spans="2:2" x14ac:dyDescent="0.25">
      <c r="B15" s="90"/>
    </row>
    <row r="16" spans="2:2" x14ac:dyDescent="0.25">
      <c r="B16" s="90"/>
    </row>
    <row r="17" spans="2:2" x14ac:dyDescent="0.25">
      <c r="B17" s="90"/>
    </row>
    <row r="18" spans="2:2" x14ac:dyDescent="0.25">
      <c r="B18" s="90"/>
    </row>
    <row r="19" spans="2:2" x14ac:dyDescent="0.25">
      <c r="B19" s="90"/>
    </row>
    <row r="20" spans="2:2" x14ac:dyDescent="0.25">
      <c r="B20" s="90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 zoomScale="100" zoomScaleNormal="100">
      <selection activeCell="Q35" sqref="Q35"/>
    </sheetView>
  </sheetViews>
  <sheetFormatPr defaultRowHeight="15" outlineLevelRow="0" outlineLevelCol="0" x14ac:dyDescent="0" defaultColWidth="8.83203125"/>
  <cols>
    <col min="2" max="2" width="9.6640625" customWidth="1"/>
    <col min="4" max="4" width="13.5" customWidth="1"/>
    <col min="5" max="5" width="15.8320312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4642.52</v>
      </c>
    </row>
    <row r="2" ht="16" customHeight="1" spans="1:5" x14ac:dyDescent="0.25">
      <c r="A2" s="376" t="s">
        <v>1009</v>
      </c>
      <c r="B2" s="394">
        <v>4050</v>
      </c>
      <c r="C2" s="376"/>
      <c r="D2" s="36" t="s">
        <v>898</v>
      </c>
      <c r="E2" s="378">
        <v>5795</v>
      </c>
    </row>
    <row r="3" spans="1:5" x14ac:dyDescent="0.25">
      <c r="A3" s="376" t="s">
        <v>899</v>
      </c>
      <c r="B3" s="390">
        <v>346.8</v>
      </c>
      <c r="C3" s="376"/>
      <c r="D3" s="36"/>
      <c r="E3" s="378"/>
    </row>
    <row r="4" ht="16" customHeight="1" spans="1:5" x14ac:dyDescent="0.25">
      <c r="A4" s="376" t="s">
        <v>765</v>
      </c>
      <c r="B4" s="379">
        <v>8</v>
      </c>
      <c r="C4" s="376"/>
      <c r="D4" s="36" t="s">
        <v>900</v>
      </c>
      <c r="E4" s="378">
        <f>E2-E1</f>
        <v>1152.4799999999996</v>
      </c>
    </row>
    <row r="5" spans="1:2" x14ac:dyDescent="0.25">
      <c r="A5" s="376" t="s">
        <v>597</v>
      </c>
      <c r="B5" s="123">
        <v>120</v>
      </c>
    </row>
    <row r="6" spans="1:2" x14ac:dyDescent="0.25">
      <c r="A6" s="376" t="s">
        <v>870</v>
      </c>
      <c r="B6" s="123">
        <v>40</v>
      </c>
    </row>
    <row r="7" spans="1:2" x14ac:dyDescent="0.25">
      <c r="A7" s="376" t="s">
        <v>42</v>
      </c>
      <c r="B7" s="123">
        <v>77.72</v>
      </c>
    </row>
    <row r="8" spans="2:2" x14ac:dyDescent="0.25">
      <c r="B8" s="123"/>
    </row>
    <row r="9" spans="2:2" x14ac:dyDescent="0.25">
      <c r="B9" s="123"/>
    </row>
    <row r="10" spans="2:2" x14ac:dyDescent="0.25">
      <c r="B10" s="123"/>
    </row>
    <row r="11" spans="2:2" x14ac:dyDescent="0.25">
      <c r="B11" s="123"/>
    </row>
    <row r="12" spans="2:2" x14ac:dyDescent="0.25">
      <c r="B12" s="123"/>
    </row>
    <row r="13" spans="2:2" x14ac:dyDescent="0.25">
      <c r="B13" s="123"/>
    </row>
    <row r="14" spans="2:2" x14ac:dyDescent="0.25">
      <c r="B14" s="123"/>
    </row>
    <row r="15" spans="2:2" x14ac:dyDescent="0.25">
      <c r="B15" s="123"/>
    </row>
    <row r="16" spans="2:2" x14ac:dyDescent="0.25">
      <c r="B16" s="123"/>
    </row>
    <row r="17" spans="2:2" x14ac:dyDescent="0.25">
      <c r="B17" s="123"/>
    </row>
    <row r="18" spans="2:2" x14ac:dyDescent="0.25">
      <c r="B18" s="123"/>
    </row>
    <row r="19" spans="2:2" x14ac:dyDescent="0.25">
      <c r="B19" s="123"/>
    </row>
    <row r="20" spans="2:2" x14ac:dyDescent="0.25">
      <c r="B20" s="123"/>
    </row>
    <row r="21" spans="2:2" x14ac:dyDescent="0.25">
      <c r="B21" s="123"/>
    </row>
    <row r="22" spans="2:2" x14ac:dyDescent="0.25">
      <c r="B22" s="123"/>
    </row>
    <row r="23" spans="2:2" x14ac:dyDescent="0.25">
      <c r="B23" s="123"/>
    </row>
    <row r="24" spans="2:2" x14ac:dyDescent="0.25">
      <c r="B24" s="123"/>
    </row>
    <row r="25" spans="2:2" x14ac:dyDescent="0.25">
      <c r="B25" s="123"/>
    </row>
    <row r="26" spans="2:2" x14ac:dyDescent="0.25">
      <c r="B26" s="123"/>
    </row>
    <row r="27" spans="2:2" x14ac:dyDescent="0.25">
      <c r="B27" s="123"/>
    </row>
    <row r="28" spans="2:2" x14ac:dyDescent="0.25">
      <c r="B28" s="123"/>
    </row>
    <row r="29" spans="2:2" x14ac:dyDescent="0.25">
      <c r="B29" s="123"/>
    </row>
    <row r="30" spans="2:2" x14ac:dyDescent="0.25">
      <c r="B30" s="123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>
      <selection activeCell="B15" sqref="B15"/>
    </sheetView>
  </sheetViews>
  <sheetFormatPr defaultRowHeight="15" outlineLevelRow="0" outlineLevelCol="0" x14ac:dyDescent="0" defaultColWidth="8.83203125"/>
  <cols>
    <col min="1" max="1" width="11.6640625" customWidth="1"/>
    <col min="2" max="2" width="12.1640625" customWidth="1"/>
    <col min="5" max="5" width="13.5" customWidth="1"/>
    <col min="6" max="6" width="68.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v>8</v>
      </c>
    </row>
    <row r="2" ht="16" customHeight="1" spans="1:5" x14ac:dyDescent="0.25">
      <c r="A2" s="376" t="s">
        <v>1010</v>
      </c>
      <c r="B2" s="390">
        <v>800</v>
      </c>
      <c r="C2" s="376"/>
      <c r="D2" s="36" t="s">
        <v>898</v>
      </c>
      <c r="E2" s="378">
        <v>1995</v>
      </c>
    </row>
    <row r="3" ht="32" customHeight="1" spans="1:6" x14ac:dyDescent="0.25">
      <c r="A3" s="376" t="s">
        <v>765</v>
      </c>
      <c r="B3" s="390">
        <v>8</v>
      </c>
      <c r="C3" s="376"/>
      <c r="D3" s="36" t="s">
        <v>900</v>
      </c>
      <c r="E3" s="378">
        <v>1586.99</v>
      </c>
      <c r="F3" t="s">
        <v>1011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 zoomScale="100" zoomScaleNormal="100">
      <selection activeCell="B10" sqref="B10"/>
    </sheetView>
  </sheetViews>
  <sheetFormatPr defaultRowHeight="15" outlineLevelRow="0" outlineLevelCol="0" x14ac:dyDescent="0" defaultColWidth="8.83203125"/>
  <cols>
    <col min="2" max="2" width="10.33203125" customWidth="1"/>
    <col min="5" max="5" width="10.3320312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4399.21</v>
      </c>
    </row>
    <row r="2" ht="16" customHeight="1" spans="1:5" x14ac:dyDescent="0.25">
      <c r="A2" s="376" t="s">
        <v>964</v>
      </c>
      <c r="B2" s="390">
        <v>3900</v>
      </c>
      <c r="C2" s="376"/>
      <c r="D2" s="36" t="s">
        <v>898</v>
      </c>
      <c r="E2" s="378">
        <v>7250</v>
      </c>
    </row>
    <row r="3" ht="32" customHeight="1" spans="1:5" x14ac:dyDescent="0.25">
      <c r="A3" s="376" t="s">
        <v>899</v>
      </c>
      <c r="B3" s="390">
        <v>322.8</v>
      </c>
      <c r="C3" s="376"/>
      <c r="D3" s="36" t="s">
        <v>900</v>
      </c>
      <c r="E3" s="378">
        <f>E2-E1</f>
        <v>2850.79</v>
      </c>
    </row>
    <row r="4" spans="1:2" x14ac:dyDescent="0.25">
      <c r="A4" s="376" t="s">
        <v>1012</v>
      </c>
      <c r="B4" s="90">
        <v>19.95</v>
      </c>
    </row>
    <row r="5" spans="1:2" x14ac:dyDescent="0.25">
      <c r="A5" s="376" t="s">
        <v>1013</v>
      </c>
      <c r="B5" s="90">
        <v>30</v>
      </c>
    </row>
    <row r="6" spans="1:2" x14ac:dyDescent="0.25">
      <c r="A6" s="376" t="s">
        <v>573</v>
      </c>
      <c r="B6" s="90">
        <v>24.51</v>
      </c>
    </row>
    <row r="7" spans="1:2" x14ac:dyDescent="0.25">
      <c r="A7" s="376" t="s">
        <v>765</v>
      </c>
      <c r="B7" s="90">
        <v>20</v>
      </c>
    </row>
    <row r="8" spans="1:2" x14ac:dyDescent="0.25">
      <c r="A8" s="376" t="s">
        <v>765</v>
      </c>
      <c r="B8" s="90">
        <v>12</v>
      </c>
    </row>
    <row r="9" spans="1:2" x14ac:dyDescent="0.25">
      <c r="A9" s="376" t="s">
        <v>42</v>
      </c>
      <c r="B9" s="90">
        <v>69.95</v>
      </c>
    </row>
    <row r="10" spans="2:2" x14ac:dyDescent="0.25">
      <c r="B10" s="90"/>
    </row>
    <row r="11" spans="2:2" x14ac:dyDescent="0.25">
      <c r="B11" s="90"/>
    </row>
    <row r="12" spans="2:2" x14ac:dyDescent="0.25">
      <c r="B12" s="90"/>
    </row>
    <row r="13" spans="2:2" x14ac:dyDescent="0.25">
      <c r="B13" s="90"/>
    </row>
    <row r="14" spans="2:2" x14ac:dyDescent="0.25">
      <c r="B14" s="90"/>
    </row>
    <row r="15" spans="2:2" x14ac:dyDescent="0.25">
      <c r="B15" s="90"/>
    </row>
    <row r="16" spans="2:2" x14ac:dyDescent="0.25">
      <c r="B16" s="90"/>
    </row>
    <row r="17" spans="2:2" x14ac:dyDescent="0.25">
      <c r="B17" s="90"/>
    </row>
    <row r="18" spans="2:2" x14ac:dyDescent="0.25">
      <c r="B18" s="90"/>
    </row>
    <row r="19" spans="2:2" x14ac:dyDescent="0.25">
      <c r="B19" s="90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 zoomScale="125" zoomScaleNormal="100">
      <selection activeCell="B10" sqref="B10"/>
    </sheetView>
  </sheetViews>
  <sheetFormatPr defaultRowHeight="15" outlineLevelRow="0" outlineLevelCol="0" x14ac:dyDescent="0" defaultColWidth="8.83203125"/>
  <cols>
    <col min="2" max="2" width="10.33203125" customWidth="1"/>
    <col min="5" max="5" width="9.3320312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5732.320000000001</v>
      </c>
    </row>
    <row r="2" ht="16" customHeight="1" spans="1:8" x14ac:dyDescent="0.25">
      <c r="A2" s="376" t="s">
        <v>964</v>
      </c>
      <c r="B2" s="390">
        <v>4650</v>
      </c>
      <c r="C2" s="376"/>
      <c r="D2" s="36" t="s">
        <v>898</v>
      </c>
      <c r="E2" s="378">
        <v>7995</v>
      </c>
      <c r="G2" t="s">
        <v>1014</v>
      </c>
      <c r="H2">
        <v>99</v>
      </c>
    </row>
    <row r="3" ht="32" customHeight="1" spans="1:8" x14ac:dyDescent="0.25">
      <c r="A3" s="376" t="s">
        <v>899</v>
      </c>
      <c r="B3" s="390">
        <v>370.8</v>
      </c>
      <c r="C3" s="376"/>
      <c r="D3" s="36" t="s">
        <v>900</v>
      </c>
      <c r="E3" s="378">
        <f>E2-E1</f>
        <v>2262.6799999999994</v>
      </c>
      <c r="G3" t="s">
        <v>995</v>
      </c>
      <c r="H3">
        <v>120</v>
      </c>
    </row>
    <row r="4" spans="1:2" x14ac:dyDescent="0.25">
      <c r="A4" s="376" t="s">
        <v>864</v>
      </c>
      <c r="B4" s="90">
        <v>30.01</v>
      </c>
    </row>
    <row r="5" spans="1:2" x14ac:dyDescent="0.25">
      <c r="A5" s="376" t="s">
        <v>1015</v>
      </c>
      <c r="B5" s="90">
        <v>50</v>
      </c>
    </row>
    <row r="6" spans="1:2" x14ac:dyDescent="0.25">
      <c r="A6" s="376" t="s">
        <v>1016</v>
      </c>
      <c r="B6" s="90">
        <v>66.45</v>
      </c>
    </row>
    <row r="7" spans="1:2" x14ac:dyDescent="0.25">
      <c r="A7" s="376" t="s">
        <v>1017</v>
      </c>
      <c r="B7" s="90">
        <v>7.5</v>
      </c>
    </row>
    <row r="8" spans="1:2" x14ac:dyDescent="0.25">
      <c r="A8" s="376" t="s">
        <v>887</v>
      </c>
      <c r="B8" s="90">
        <v>130</v>
      </c>
    </row>
    <row r="9" spans="1:2" x14ac:dyDescent="0.25">
      <c r="A9" s="376" t="s">
        <v>573</v>
      </c>
      <c r="B9" s="90">
        <v>29.14</v>
      </c>
    </row>
    <row r="10" spans="1:2" x14ac:dyDescent="0.25">
      <c r="A10" s="376" t="s">
        <v>765</v>
      </c>
      <c r="B10" s="90">
        <v>20</v>
      </c>
    </row>
    <row r="11" spans="1:2" x14ac:dyDescent="0.25">
      <c r="A11" s="376" t="s">
        <v>573</v>
      </c>
      <c r="B11" s="90">
        <v>22.93</v>
      </c>
    </row>
    <row r="12" spans="1:2" x14ac:dyDescent="0.25">
      <c r="A12" s="376" t="s">
        <v>887</v>
      </c>
      <c r="B12" s="90">
        <v>200</v>
      </c>
    </row>
    <row r="13" spans="1:2" x14ac:dyDescent="0.25">
      <c r="A13" s="376" t="s">
        <v>765</v>
      </c>
      <c r="B13" s="90">
        <v>20</v>
      </c>
    </row>
    <row r="14" spans="1:2" x14ac:dyDescent="0.25">
      <c r="A14" s="376" t="s">
        <v>1018</v>
      </c>
      <c r="B14" s="90">
        <v>3</v>
      </c>
    </row>
    <row r="15" spans="1:2" x14ac:dyDescent="0.25">
      <c r="A15" s="376" t="s">
        <v>765</v>
      </c>
      <c r="B15" s="90">
        <v>20</v>
      </c>
    </row>
    <row r="16" spans="1:2" x14ac:dyDescent="0.25">
      <c r="A16" s="376" t="s">
        <v>864</v>
      </c>
      <c r="B16" s="90">
        <v>3</v>
      </c>
    </row>
    <row r="17" spans="1:2" x14ac:dyDescent="0.25">
      <c r="A17" s="376" t="s">
        <v>864</v>
      </c>
      <c r="B17" s="90">
        <v>8.99</v>
      </c>
    </row>
    <row r="18" spans="1:2" x14ac:dyDescent="0.25">
      <c r="A18" s="376" t="s">
        <v>864</v>
      </c>
      <c r="B18" s="90">
        <v>15</v>
      </c>
    </row>
    <row r="19" spans="1:2" x14ac:dyDescent="0.25">
      <c r="A19" s="376" t="s">
        <v>864</v>
      </c>
      <c r="B19" s="90">
        <v>3.05</v>
      </c>
    </row>
    <row r="20" spans="1:2" x14ac:dyDescent="0.25">
      <c r="A20" s="376" t="s">
        <v>42</v>
      </c>
      <c r="B20" s="90">
        <v>69.95</v>
      </c>
    </row>
    <row r="21" spans="1:2" x14ac:dyDescent="0.25">
      <c r="A21" s="376" t="s">
        <v>1019</v>
      </c>
      <c r="B21" s="90">
        <v>12.5</v>
      </c>
    </row>
  </sheetData>
  <autoFilter ref="A1:B21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selection activeCell="B8" sqref="B8"/>
    </sheetView>
  </sheetViews>
  <sheetFormatPr defaultRowHeight="15" outlineLevelRow="0" outlineLevelCol="0" x14ac:dyDescent="0" defaultColWidth="8.83203125"/>
  <cols>
    <col min="1" max="1" width="17" customWidth="1"/>
    <col min="2" max="2" width="16.83203125" customWidth="1"/>
    <col min="4" max="4" width="7.33203125" customWidth="1"/>
    <col min="5" max="5" width="9.33203125" customWidth="1"/>
    <col min="7" max="8" width="11.6640625" customWidth="1"/>
  </cols>
  <sheetData>
    <row r="1" ht="32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5975.85</v>
      </c>
    </row>
    <row r="2" ht="16" customHeight="1" spans="1:8" x14ac:dyDescent="0.25">
      <c r="A2" s="376" t="s">
        <v>964</v>
      </c>
      <c r="B2" s="390">
        <v>5800</v>
      </c>
      <c r="C2" s="376"/>
      <c r="D2" s="36" t="s">
        <v>898</v>
      </c>
      <c r="E2" s="378">
        <v>7400</v>
      </c>
      <c r="G2" t="s">
        <v>1010</v>
      </c>
      <c r="H2" s="90">
        <v>800</v>
      </c>
    </row>
    <row r="3" ht="32" customHeight="1" spans="1:5" x14ac:dyDescent="0.25">
      <c r="A3" s="376" t="s">
        <v>1020</v>
      </c>
      <c r="B3" s="390">
        <v>53.83</v>
      </c>
      <c r="C3" s="376"/>
      <c r="D3" s="36" t="s">
        <v>900</v>
      </c>
      <c r="E3" s="378">
        <f>E2-E1</f>
        <v>1424.1499999999996</v>
      </c>
    </row>
    <row r="4" spans="1:2" x14ac:dyDescent="0.25">
      <c r="A4" s="376" t="s">
        <v>1021</v>
      </c>
      <c r="B4" s="90">
        <f>2.97 + 26.67</f>
        <v>29.64</v>
      </c>
    </row>
    <row r="5" spans="1:2" x14ac:dyDescent="0.25">
      <c r="A5" s="376" t="s">
        <v>864</v>
      </c>
      <c r="B5" s="90">
        <v>40</v>
      </c>
    </row>
    <row r="6" spans="1:2" x14ac:dyDescent="0.25">
      <c r="A6" s="376" t="s">
        <v>909</v>
      </c>
      <c r="B6" s="90">
        <v>20</v>
      </c>
    </row>
    <row r="7" spans="1:2" x14ac:dyDescent="0.25">
      <c r="A7" s="376" t="s">
        <v>917</v>
      </c>
      <c r="B7" s="90">
        <v>32.38</v>
      </c>
    </row>
    <row r="8" spans="1:2" x14ac:dyDescent="0.25">
      <c r="A8" s="376"/>
      <c r="B8" s="90"/>
    </row>
    <row r="9" spans="2:2" x14ac:dyDescent="0.25">
      <c r="B9" s="90"/>
    </row>
    <row r="10" spans="2:2" x14ac:dyDescent="0.25">
      <c r="B10" s="90"/>
    </row>
    <row r="11" spans="2:2" x14ac:dyDescent="0.25">
      <c r="B11" s="90"/>
    </row>
    <row r="12" spans="2:2" x14ac:dyDescent="0.25">
      <c r="B12" s="90"/>
    </row>
    <row r="13" spans="2:2" x14ac:dyDescent="0.25">
      <c r="B13" s="90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 zoomScale="100" zoomScaleNormal="100">
      <selection activeCell="F15" sqref="F15"/>
    </sheetView>
  </sheetViews>
  <sheetFormatPr defaultRowHeight="15" outlineLevelRow="0" outlineLevelCol="0" x14ac:dyDescent="0" defaultColWidth="8.83203125"/>
  <cols>
    <col min="1" max="1" width="19.5" customWidth="1"/>
    <col min="2" max="2" width="10.33203125" customWidth="1"/>
    <col min="5" max="5" width="9.3320312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4901.89</v>
      </c>
    </row>
    <row r="2" ht="16" customHeight="1" spans="1:5" x14ac:dyDescent="0.25">
      <c r="A2" s="376" t="s">
        <v>964</v>
      </c>
      <c r="B2" s="390">
        <v>3200</v>
      </c>
      <c r="C2" s="376"/>
      <c r="D2" s="36" t="s">
        <v>898</v>
      </c>
      <c r="E2" s="378">
        <v>5695</v>
      </c>
    </row>
    <row r="3" ht="32" customHeight="1" spans="1:5" x14ac:dyDescent="0.25">
      <c r="A3" s="376" t="s">
        <v>1022</v>
      </c>
      <c r="B3" s="390">
        <v>358.8</v>
      </c>
      <c r="C3" s="376"/>
      <c r="D3" s="36" t="s">
        <v>900</v>
      </c>
      <c r="E3" s="378">
        <f>E2-E1</f>
        <v>793.1099999999997</v>
      </c>
    </row>
    <row r="4" spans="1:2" x14ac:dyDescent="0.25">
      <c r="A4" s="376" t="s">
        <v>901</v>
      </c>
      <c r="B4" s="90">
        <v>34.45</v>
      </c>
    </row>
    <row r="5" spans="1:2" x14ac:dyDescent="0.25">
      <c r="A5" s="376" t="s">
        <v>1017</v>
      </c>
      <c r="B5" s="90">
        <v>7.5</v>
      </c>
    </row>
    <row r="6" spans="1:2" x14ac:dyDescent="0.25">
      <c r="A6" s="376" t="s">
        <v>1015</v>
      </c>
      <c r="B6" s="90">
        <v>50</v>
      </c>
    </row>
    <row r="7" spans="1:2" x14ac:dyDescent="0.25">
      <c r="A7" s="376" t="s">
        <v>1016</v>
      </c>
      <c r="B7" s="90">
        <v>66.45</v>
      </c>
    </row>
    <row r="8" spans="1:2" x14ac:dyDescent="0.25">
      <c r="A8" s="376" t="s">
        <v>920</v>
      </c>
      <c r="B8" s="90">
        <v>465</v>
      </c>
    </row>
    <row r="9" spans="1:2" x14ac:dyDescent="0.25">
      <c r="A9" t="s">
        <v>880</v>
      </c>
      <c r="B9" s="90">
        <v>320</v>
      </c>
    </row>
    <row r="10" spans="1:2" x14ac:dyDescent="0.25">
      <c r="A10" s="376" t="s">
        <v>887</v>
      </c>
      <c r="B10" s="90">
        <v>150</v>
      </c>
    </row>
    <row r="11" spans="1:2" x14ac:dyDescent="0.25">
      <c r="A11" s="376" t="s">
        <v>953</v>
      </c>
      <c r="B11" s="90">
        <v>43.24</v>
      </c>
    </row>
    <row r="12" spans="1:2" x14ac:dyDescent="0.25">
      <c r="A12" s="376" t="s">
        <v>765</v>
      </c>
      <c r="B12" s="90">
        <v>8</v>
      </c>
    </row>
    <row r="13" spans="1:2" x14ac:dyDescent="0.25">
      <c r="A13" s="376" t="s">
        <v>864</v>
      </c>
      <c r="B13" s="90">
        <v>5.01</v>
      </c>
    </row>
    <row r="14" spans="1:2" x14ac:dyDescent="0.25">
      <c r="A14" s="376" t="s">
        <v>1023</v>
      </c>
      <c r="B14" s="90">
        <v>25.84</v>
      </c>
    </row>
    <row r="15" spans="1:2" x14ac:dyDescent="0.25">
      <c r="A15" s="376" t="s">
        <v>1024</v>
      </c>
      <c r="B15" s="90">
        <v>10</v>
      </c>
    </row>
    <row r="16" spans="2:2" x14ac:dyDescent="0.25">
      <c r="B16" s="90">
        <v>77.72</v>
      </c>
    </row>
    <row r="17" spans="2:2" x14ac:dyDescent="0.25">
      <c r="B17" s="90">
        <v>20</v>
      </c>
    </row>
    <row r="18" spans="1:2" x14ac:dyDescent="0.25">
      <c r="A18" s="376" t="s">
        <v>901</v>
      </c>
      <c r="B18" s="90">
        <v>14.5</v>
      </c>
    </row>
    <row r="19" spans="1:2" x14ac:dyDescent="0.25">
      <c r="A19" s="376" t="s">
        <v>901</v>
      </c>
      <c r="B19" s="90">
        <v>5.38</v>
      </c>
    </row>
    <row r="20" spans="1:2" x14ac:dyDescent="0.25">
      <c r="A20" s="376" t="s">
        <v>1025</v>
      </c>
      <c r="B20" s="90">
        <v>40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 zoomScale="100" zoomScaleNormal="100">
      <selection activeCell="B12" sqref="B12"/>
    </sheetView>
  </sheetViews>
  <sheetFormatPr defaultRowHeight="15" outlineLevelRow="0" outlineLevelCol="0" x14ac:dyDescent="0" defaultColWidth="8.83203125"/>
  <cols>
    <col min="2" max="2" width="10.33203125" customWidth="1"/>
    <col min="5" max="5" width="9.3320312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3526.9366666666665</v>
      </c>
    </row>
    <row r="2" ht="16" customHeight="1" spans="1:5" x14ac:dyDescent="0.25">
      <c r="A2" s="376" t="s">
        <v>964</v>
      </c>
      <c r="B2" s="390">
        <v>2625</v>
      </c>
      <c r="C2" s="376"/>
      <c r="D2" s="36" t="s">
        <v>898</v>
      </c>
      <c r="E2" s="378">
        <v>5000</v>
      </c>
    </row>
    <row r="3" spans="1:5" x14ac:dyDescent="0.25">
      <c r="A3" s="376" t="s">
        <v>899</v>
      </c>
      <c r="B3" s="390">
        <v>358.8</v>
      </c>
      <c r="C3" s="376"/>
      <c r="D3" s="36"/>
      <c r="E3" s="378"/>
    </row>
    <row r="4" ht="32" customHeight="1" spans="1:5" x14ac:dyDescent="0.25">
      <c r="A4" s="376" t="s">
        <v>1020</v>
      </c>
      <c r="B4" s="390">
        <v>53.83</v>
      </c>
      <c r="C4" s="376"/>
      <c r="D4" s="36" t="s">
        <v>900</v>
      </c>
      <c r="E4" s="378">
        <f>E2-E1</f>
        <v>1473.0633333333335</v>
      </c>
    </row>
    <row r="5" spans="1:2" x14ac:dyDescent="0.25">
      <c r="A5" s="376" t="s">
        <v>560</v>
      </c>
      <c r="B5" s="90">
        <v>2.97</v>
      </c>
    </row>
    <row r="6" spans="1:2" x14ac:dyDescent="0.25">
      <c r="A6" s="376" t="s">
        <v>573</v>
      </c>
      <c r="B6" s="90">
        <v>40.07</v>
      </c>
    </row>
    <row r="7" spans="1:2" x14ac:dyDescent="0.25">
      <c r="A7" s="376" t="s">
        <v>573</v>
      </c>
      <c r="B7" s="90">
        <v>101.77</v>
      </c>
    </row>
    <row r="8" spans="1:2" x14ac:dyDescent="0.25">
      <c r="A8" s="376" t="s">
        <v>864</v>
      </c>
      <c r="B8" s="90">
        <v>19.84</v>
      </c>
    </row>
    <row r="9" spans="1:2" x14ac:dyDescent="0.25">
      <c r="A9" s="376" t="s">
        <v>1026</v>
      </c>
      <c r="B9" s="90">
        <v>90</v>
      </c>
    </row>
    <row r="10" spans="1:2" x14ac:dyDescent="0.25">
      <c r="A10" s="376" t="s">
        <v>1027</v>
      </c>
      <c r="B10" s="90">
        <f>80/3</f>
        <v>26.666666666666668</v>
      </c>
    </row>
    <row r="11" spans="1:2" x14ac:dyDescent="0.25">
      <c r="A11" s="376" t="s">
        <v>597</v>
      </c>
      <c r="B11" s="90">
        <v>120</v>
      </c>
    </row>
    <row r="12" spans="1:2" x14ac:dyDescent="0.25">
      <c r="A12" s="376" t="s">
        <v>864</v>
      </c>
      <c r="B12" s="90">
        <v>8</v>
      </c>
    </row>
    <row r="13" spans="1:2" x14ac:dyDescent="0.25">
      <c r="A13" s="376" t="s">
        <v>864</v>
      </c>
      <c r="B13" s="90">
        <v>10.04</v>
      </c>
    </row>
    <row r="14" spans="1:3" x14ac:dyDescent="0.25">
      <c r="A14" t="s">
        <v>42</v>
      </c>
      <c r="B14" s="90">
        <v>69.95</v>
      </c>
      <c r="C14" s="90"/>
    </row>
    <row r="15" spans="2:2" x14ac:dyDescent="0.25">
      <c r="B15" s="90"/>
    </row>
    <row r="16" spans="2:2" x14ac:dyDescent="0.25">
      <c r="B16" s="90"/>
    </row>
    <row r="17" spans="2:2" x14ac:dyDescent="0.25">
      <c r="B17" s="90"/>
    </row>
    <row r="18" spans="2:2" x14ac:dyDescent="0.25">
      <c r="B18" s="90"/>
    </row>
    <row r="19" spans="2:2" x14ac:dyDescent="0.25">
      <c r="B19" s="90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 zoomScale="100" zoomScaleNormal="100">
      <selection activeCell="F2" sqref="F2"/>
    </sheetView>
  </sheetViews>
  <sheetFormatPr defaultRowHeight="15" outlineLevelRow="0" outlineLevelCol="0" x14ac:dyDescent="0" defaultColWidth="8.83203125"/>
  <cols>
    <col min="2" max="2" width="10.33203125" customWidth="1"/>
    <col min="5" max="5" width="9.3320312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2571.2166666666662</v>
      </c>
    </row>
    <row r="2" ht="16" customHeight="1" spans="1:5" x14ac:dyDescent="0.25">
      <c r="A2" s="376" t="s">
        <v>964</v>
      </c>
      <c r="B2" s="390">
        <v>2100</v>
      </c>
      <c r="C2" s="376"/>
      <c r="D2" s="36" t="s">
        <v>898</v>
      </c>
      <c r="E2" s="378">
        <v>3500</v>
      </c>
    </row>
    <row r="3" ht="32" customHeight="1" spans="1:5" x14ac:dyDescent="0.25">
      <c r="A3" s="376" t="s">
        <v>359</v>
      </c>
      <c r="B3" s="390">
        <v>322.8</v>
      </c>
      <c r="C3" s="376"/>
      <c r="D3" s="36" t="s">
        <v>900</v>
      </c>
      <c r="E3" s="378">
        <f>E2-E1</f>
        <v>928.7833333333338</v>
      </c>
    </row>
    <row r="4" spans="1:2" x14ac:dyDescent="0.25">
      <c r="A4" s="376" t="s">
        <v>1020</v>
      </c>
      <c r="B4" s="390">
        <v>53.83</v>
      </c>
    </row>
    <row r="5" spans="1:2" x14ac:dyDescent="0.25">
      <c r="A5" s="376" t="s">
        <v>560</v>
      </c>
      <c r="B5" s="90">
        <v>2.97</v>
      </c>
    </row>
    <row r="6" spans="1:2" x14ac:dyDescent="0.25">
      <c r="A6" s="376" t="s">
        <v>765</v>
      </c>
      <c r="B6" s="390">
        <v>8</v>
      </c>
    </row>
    <row r="7" spans="1:2" x14ac:dyDescent="0.25">
      <c r="A7" s="376" t="s">
        <v>901</v>
      </c>
      <c r="B7" s="390">
        <v>46.95</v>
      </c>
    </row>
    <row r="8" spans="1:2" x14ac:dyDescent="0.25">
      <c r="A8" s="376" t="s">
        <v>1028</v>
      </c>
      <c r="B8" s="390">
        <v>10</v>
      </c>
    </row>
    <row r="9" spans="1:2" x14ac:dyDescent="0.25">
      <c r="A9" s="376" t="s">
        <v>1027</v>
      </c>
      <c r="B9" s="90">
        <f>80/3</f>
        <v>26.666666666666668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 zoomScale="100" zoomScaleNormal="100">
      <selection activeCell="A14" sqref="A14"/>
    </sheetView>
  </sheetViews>
  <sheetFormatPr defaultRowHeight="15" outlineLevelRow="0" outlineLevelCol="0" x14ac:dyDescent="0" defaultColWidth="8.83203125"/>
  <cols>
    <col min="2" max="2" width="10.33203125" customWidth="1"/>
    <col min="5" max="5" width="9.3320312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4783.320000000001</v>
      </c>
    </row>
    <row r="2" ht="16" customHeight="1" spans="1:5" x14ac:dyDescent="0.25">
      <c r="A2" s="376" t="s">
        <v>964</v>
      </c>
      <c r="B2" s="390">
        <v>4000</v>
      </c>
      <c r="C2" s="376"/>
      <c r="D2" s="36" t="s">
        <v>898</v>
      </c>
      <c r="E2" s="378">
        <v>6995</v>
      </c>
    </row>
    <row r="3" ht="32" customHeight="1" spans="1:5" x14ac:dyDescent="0.25">
      <c r="A3" s="376" t="s">
        <v>864</v>
      </c>
      <c r="B3" s="390">
        <v>14.65</v>
      </c>
      <c r="C3" s="376"/>
      <c r="D3" s="36" t="s">
        <v>900</v>
      </c>
      <c r="E3" s="378">
        <f>E2-E1</f>
        <v>2211.6799999999994</v>
      </c>
    </row>
    <row r="4" spans="1:2" x14ac:dyDescent="0.25">
      <c r="A4" s="376" t="s">
        <v>990</v>
      </c>
      <c r="B4" s="90">
        <v>30</v>
      </c>
    </row>
    <row r="5" spans="1:2" x14ac:dyDescent="0.25">
      <c r="A5" s="376" t="s">
        <v>909</v>
      </c>
      <c r="B5" s="90">
        <v>30</v>
      </c>
    </row>
    <row r="6" spans="1:2" x14ac:dyDescent="0.25">
      <c r="A6" s="376" t="s">
        <v>864</v>
      </c>
      <c r="B6" s="90">
        <v>5.75</v>
      </c>
    </row>
    <row r="7" spans="1:2" x14ac:dyDescent="0.25">
      <c r="A7" s="376" t="s">
        <v>864</v>
      </c>
      <c r="B7" s="90">
        <v>5.19</v>
      </c>
    </row>
    <row r="8" spans="1:2" x14ac:dyDescent="0.25">
      <c r="A8" s="376" t="s">
        <v>1029</v>
      </c>
      <c r="B8" s="90">
        <v>230</v>
      </c>
    </row>
    <row r="9" spans="1:2" x14ac:dyDescent="0.25">
      <c r="A9" s="376" t="s">
        <v>1030</v>
      </c>
      <c r="B9" s="90">
        <v>15</v>
      </c>
    </row>
    <row r="10" spans="1:2" x14ac:dyDescent="0.25">
      <c r="A10" s="381" t="s">
        <v>899</v>
      </c>
      <c r="B10" s="90">
        <v>346.8</v>
      </c>
    </row>
    <row r="11" spans="1:2" x14ac:dyDescent="0.25">
      <c r="A11" s="376" t="s">
        <v>953</v>
      </c>
      <c r="B11" s="90">
        <v>4.58</v>
      </c>
    </row>
    <row r="12" spans="1:2" x14ac:dyDescent="0.25">
      <c r="A12" s="376" t="s">
        <v>1030</v>
      </c>
      <c r="B12" s="90">
        <v>15</v>
      </c>
    </row>
    <row r="13" spans="1:2" x14ac:dyDescent="0.25">
      <c r="A13" s="381" t="s">
        <v>42</v>
      </c>
      <c r="B13" s="90">
        <v>86.35</v>
      </c>
    </row>
    <row r="14" spans="2:2" x14ac:dyDescent="0.25">
      <c r="B14" s="90"/>
    </row>
    <row r="15" spans="2:2" x14ac:dyDescent="0.25">
      <c r="B15" s="90"/>
    </row>
    <row r="16" spans="2:2" x14ac:dyDescent="0.25">
      <c r="B16" s="90"/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 zoomScale="100" zoomScaleNormal="100">
      <selection activeCell="T32" sqref="T32"/>
    </sheetView>
  </sheetViews>
  <sheetFormatPr defaultRowHeight="15" outlineLevelRow="0" outlineLevelCol="0" x14ac:dyDescent="0" defaultColWidth="8.83203125"/>
  <cols>
    <col min="1" max="1" width="8.1640625" customWidth="1"/>
    <col min="2" max="2" width="11.6640625" customWidth="1"/>
    <col min="4" max="4" width="10.33203125" customWidth="1"/>
    <col min="5" max="5" width="17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95">
        <f>SUM(B:B)</f>
        <v>5248.403333333334</v>
      </c>
    </row>
    <row r="2" ht="16" customHeight="1" spans="1:5" x14ac:dyDescent="0.25">
      <c r="A2" s="376" t="s">
        <v>964</v>
      </c>
      <c r="B2" s="390">
        <v>4750</v>
      </c>
      <c r="C2" s="376"/>
      <c r="D2" s="36" t="s">
        <v>898</v>
      </c>
      <c r="E2" s="93">
        <v>7495</v>
      </c>
    </row>
    <row r="3" ht="16" customHeight="1" spans="1:5" x14ac:dyDescent="0.25">
      <c r="A3" s="376" t="s">
        <v>359</v>
      </c>
      <c r="B3" s="390">
        <v>370.8</v>
      </c>
      <c r="C3" s="376"/>
      <c r="D3" s="36" t="s">
        <v>900</v>
      </c>
      <c r="E3" s="395">
        <f>E2-E1</f>
        <v>2246.5966666666664</v>
      </c>
    </row>
    <row r="4" spans="1:2" x14ac:dyDescent="0.25">
      <c r="A4" s="376" t="s">
        <v>1031</v>
      </c>
      <c r="B4" s="90">
        <v>74.63</v>
      </c>
    </row>
    <row r="5" spans="1:2" x14ac:dyDescent="0.25">
      <c r="A5" s="376" t="s">
        <v>574</v>
      </c>
      <c r="B5" s="390">
        <v>26.66</v>
      </c>
    </row>
    <row r="6" spans="1:2" x14ac:dyDescent="0.25">
      <c r="A6" s="376" t="s">
        <v>765</v>
      </c>
      <c r="B6" s="90">
        <v>15</v>
      </c>
    </row>
    <row r="7" spans="1:2" x14ac:dyDescent="0.25">
      <c r="A7" s="376" t="s">
        <v>909</v>
      </c>
      <c r="B7" s="90">
        <v>8</v>
      </c>
    </row>
    <row r="8" spans="1:2" x14ac:dyDescent="0.25">
      <c r="A8" s="376" t="s">
        <v>1032</v>
      </c>
      <c r="B8" s="90">
        <f>9.94/3</f>
        <v>3.313333333333333</v>
      </c>
    </row>
    <row r="9" spans="2:2" x14ac:dyDescent="0.25">
      <c r="B9" s="90"/>
    </row>
    <row r="10" spans="2:2" x14ac:dyDescent="0.25">
      <c r="B10" s="90"/>
    </row>
    <row r="11" spans="2:2" x14ac:dyDescent="0.25">
      <c r="B11" s="90"/>
    </row>
    <row r="12" spans="2:2" x14ac:dyDescent="0.25">
      <c r="B12" s="90"/>
    </row>
    <row r="13" spans="2:2" x14ac:dyDescent="0.25">
      <c r="B13" s="90"/>
    </row>
    <row r="14" spans="2:2" x14ac:dyDescent="0.25">
      <c r="B14" s="90"/>
    </row>
    <row r="15" spans="2:2" x14ac:dyDescent="0.25">
      <c r="B15" s="90"/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 zoomScale="100" zoomScaleNormal="100">
      <selection activeCell="D21" sqref="D21"/>
    </sheetView>
  </sheetViews>
  <sheetFormatPr defaultRowHeight="15" outlineLevelRow="0" outlineLevelCol="0" x14ac:dyDescent="0" defaultColWidth="8.83203125"/>
  <cols>
    <col min="1" max="1" width="13.83203125" customWidth="1"/>
    <col min="2" max="2" width="15.1640625" customWidth="1"/>
    <col min="4" max="4" width="20.1640625" customWidth="1"/>
    <col min="5" max="5" width="15.5" customWidth="1"/>
  </cols>
  <sheetData>
    <row r="1" ht="16" customHeight="1" spans="1:5" x14ac:dyDescent="0.25">
      <c r="A1" s="36" t="s">
        <v>897</v>
      </c>
      <c r="B1" s="396" t="s">
        <v>548</v>
      </c>
      <c r="D1" s="36" t="s">
        <v>1033</v>
      </c>
      <c r="E1" s="396">
        <f>SUM(B:B)</f>
        <v>5602.543333333333</v>
      </c>
    </row>
    <row r="2" ht="16" customHeight="1" spans="1:5" x14ac:dyDescent="0.25">
      <c r="A2" s="397" t="s">
        <v>341</v>
      </c>
      <c r="B2" s="90">
        <v>4000</v>
      </c>
      <c r="D2" s="36" t="s">
        <v>1034</v>
      </c>
      <c r="E2" s="90">
        <v>7793.28</v>
      </c>
    </row>
    <row r="3" ht="16" customHeight="1" spans="1:5" x14ac:dyDescent="0.25">
      <c r="A3" s="397" t="s">
        <v>899</v>
      </c>
      <c r="B3" s="90">
        <v>370.8</v>
      </c>
      <c r="D3" s="36" t="s">
        <v>1035</v>
      </c>
      <c r="E3" s="90">
        <f>E2-E1</f>
        <v>2190.7366666666667</v>
      </c>
    </row>
    <row r="4" spans="1:5" x14ac:dyDescent="0.25">
      <c r="A4" s="397" t="s">
        <v>864</v>
      </c>
      <c r="B4" s="90">
        <v>55.09</v>
      </c>
      <c r="E4" s="90"/>
    </row>
    <row r="5" spans="1:2" x14ac:dyDescent="0.25">
      <c r="A5" s="398" t="s">
        <v>1031</v>
      </c>
      <c r="B5" s="90">
        <v>74.63</v>
      </c>
    </row>
    <row r="6" spans="1:2" x14ac:dyDescent="0.25">
      <c r="A6" s="397" t="s">
        <v>574</v>
      </c>
      <c r="B6" s="379">
        <v>26.66</v>
      </c>
    </row>
    <row r="7" spans="1:2" x14ac:dyDescent="0.25">
      <c r="A7" s="397" t="s">
        <v>1036</v>
      </c>
      <c r="B7" s="90">
        <v>600</v>
      </c>
    </row>
    <row r="8" spans="1:2" x14ac:dyDescent="0.25">
      <c r="A8" s="397" t="s">
        <v>864</v>
      </c>
      <c r="B8" s="90">
        <v>12.19</v>
      </c>
    </row>
    <row r="9" spans="1:2" x14ac:dyDescent="0.25">
      <c r="A9" s="397" t="s">
        <v>901</v>
      </c>
      <c r="B9" s="90">
        <v>24.08</v>
      </c>
    </row>
    <row r="10" spans="1:2" x14ac:dyDescent="0.25">
      <c r="A10" s="397" t="s">
        <v>909</v>
      </c>
      <c r="B10" s="90">
        <v>10</v>
      </c>
    </row>
    <row r="11" spans="1:2" x14ac:dyDescent="0.25">
      <c r="A11" s="398" t="s">
        <v>1032</v>
      </c>
      <c r="B11" s="90">
        <f>9.94/3</f>
        <v>3.313333333333333</v>
      </c>
    </row>
    <row r="12" spans="1:2" x14ac:dyDescent="0.25">
      <c r="A12" s="397" t="s">
        <v>1037</v>
      </c>
      <c r="B12" s="90">
        <v>130</v>
      </c>
    </row>
    <row r="13" spans="1:2" x14ac:dyDescent="0.25">
      <c r="A13" s="397" t="s">
        <v>909</v>
      </c>
      <c r="B13" s="90">
        <v>12</v>
      </c>
    </row>
    <row r="14" spans="1:2" x14ac:dyDescent="0.25">
      <c r="A14" s="397" t="s">
        <v>1038</v>
      </c>
      <c r="B14" s="90">
        <v>130.99</v>
      </c>
    </row>
    <row r="15" spans="1:2" x14ac:dyDescent="0.25">
      <c r="A15" s="397" t="s">
        <v>1039</v>
      </c>
      <c r="B15" s="90">
        <v>20</v>
      </c>
    </row>
    <row r="16" spans="1:2" x14ac:dyDescent="0.25">
      <c r="A16" s="397" t="s">
        <v>907</v>
      </c>
      <c r="B16" s="90">
        <v>15.07</v>
      </c>
    </row>
    <row r="17" spans="1:2" x14ac:dyDescent="0.25">
      <c r="A17" s="397" t="s">
        <v>42</v>
      </c>
      <c r="B17" s="90">
        <v>77.72</v>
      </c>
    </row>
    <row r="18" spans="1:2" x14ac:dyDescent="0.25">
      <c r="A18" s="397" t="s">
        <v>573</v>
      </c>
      <c r="B18" s="388">
        <v>40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 zoomScale="100" zoomScaleNormal="100">
      <selection activeCell="E2" sqref="E2"/>
    </sheetView>
  </sheetViews>
  <sheetFormatPr defaultRowHeight="15" outlineLevelRow="0" outlineLevelCol="0" x14ac:dyDescent="0" defaultColWidth="8.83203125"/>
  <cols>
    <col min="1" max="2" width="10.33203125" customWidth="1"/>
    <col min="4" max="4" width="20.1640625" customWidth="1"/>
    <col min="5" max="5" width="10.33203125" customWidth="1"/>
  </cols>
  <sheetData>
    <row r="1" ht="16" customHeight="1" spans="1:5" x14ac:dyDescent="0.25">
      <c r="A1" s="36" t="s">
        <v>897</v>
      </c>
      <c r="B1" s="396" t="s">
        <v>548</v>
      </c>
      <c r="D1" s="36" t="s">
        <v>1033</v>
      </c>
      <c r="E1" s="90">
        <f>SUM(B2:B17)</f>
        <v>4818.143333333333</v>
      </c>
    </row>
    <row r="2" ht="16" customHeight="1" spans="1:5" x14ac:dyDescent="0.25">
      <c r="A2" t="s">
        <v>341</v>
      </c>
      <c r="B2" s="90">
        <v>4000</v>
      </c>
      <c r="D2" s="36" t="s">
        <v>1034</v>
      </c>
      <c r="E2" s="90">
        <v>5995</v>
      </c>
    </row>
    <row r="3" ht="16" customHeight="1" spans="1:5" x14ac:dyDescent="0.25">
      <c r="A3" t="s">
        <v>899</v>
      </c>
      <c r="B3" s="90">
        <v>346.8</v>
      </c>
      <c r="D3" s="36" t="s">
        <v>1035</v>
      </c>
      <c r="E3" s="90">
        <f>E2-E1</f>
        <v>1176.8566666666666</v>
      </c>
    </row>
    <row r="4" spans="1:2" x14ac:dyDescent="0.25">
      <c r="A4" t="s">
        <v>864</v>
      </c>
      <c r="B4" s="90">
        <v>41.9</v>
      </c>
    </row>
    <row r="5" spans="1:2" x14ac:dyDescent="0.25">
      <c r="A5" s="376" t="s">
        <v>1031</v>
      </c>
      <c r="B5">
        <v>74.63</v>
      </c>
    </row>
    <row r="6" spans="1:2" x14ac:dyDescent="0.25">
      <c r="A6" s="376" t="s">
        <v>574</v>
      </c>
      <c r="B6" s="377">
        <v>26.66</v>
      </c>
    </row>
    <row r="7" spans="1:2" x14ac:dyDescent="0.25">
      <c r="A7" t="s">
        <v>573</v>
      </c>
      <c r="B7" s="90">
        <v>23.06</v>
      </c>
    </row>
    <row r="8" spans="1:2" x14ac:dyDescent="0.25">
      <c r="A8" t="s">
        <v>573</v>
      </c>
      <c r="B8" s="90">
        <v>17.66</v>
      </c>
    </row>
    <row r="9" spans="1:2" x14ac:dyDescent="0.25">
      <c r="A9" t="s">
        <v>952</v>
      </c>
      <c r="B9" s="90">
        <v>40</v>
      </c>
    </row>
    <row r="10" spans="1:2" x14ac:dyDescent="0.25">
      <c r="A10" s="376" t="s">
        <v>1032</v>
      </c>
      <c r="B10" s="90">
        <f>9.94/3</f>
        <v>3.313333333333333</v>
      </c>
    </row>
    <row r="11" spans="1:2" x14ac:dyDescent="0.25">
      <c r="A11" t="s">
        <v>1040</v>
      </c>
      <c r="B11" s="90">
        <v>160</v>
      </c>
    </row>
    <row r="12" spans="1:2" x14ac:dyDescent="0.25">
      <c r="A12" t="s">
        <v>42</v>
      </c>
      <c r="B12" s="90">
        <v>69.95</v>
      </c>
    </row>
    <row r="13" spans="1:2" x14ac:dyDescent="0.25">
      <c r="A13" t="s">
        <v>573</v>
      </c>
      <c r="B13" s="90">
        <v>14.17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 zoomScale="182" zoomScaleNormal="100">
      <selection activeCell="B16" sqref="B16"/>
    </sheetView>
  </sheetViews>
  <sheetFormatPr defaultRowHeight="15" outlineLevelRow="0" outlineLevelCol="0" x14ac:dyDescent="0" defaultColWidth="8.83203125"/>
  <cols>
    <col min="1" max="1" width="11.5" customWidth="1"/>
    <col min="2" max="2" width="12.1640625" style="90" customWidth="1"/>
    <col min="4" max="4" width="17.83203125" customWidth="1"/>
    <col min="5" max="5" width="10.3320312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4279.179999999999</v>
      </c>
    </row>
    <row r="2" ht="16" customHeight="1" spans="1:5" x14ac:dyDescent="0.25">
      <c r="A2" t="s">
        <v>341</v>
      </c>
      <c r="B2" s="90">
        <v>3500</v>
      </c>
      <c r="D2" s="36" t="s">
        <v>898</v>
      </c>
      <c r="E2" s="378">
        <v>5450</v>
      </c>
    </row>
    <row r="3" ht="16" customHeight="1" spans="1:5" x14ac:dyDescent="0.25">
      <c r="A3" t="s">
        <v>899</v>
      </c>
      <c r="B3" s="90">
        <v>322.8</v>
      </c>
      <c r="D3" s="36" t="s">
        <v>900</v>
      </c>
      <c r="E3" s="378">
        <f>E2-E1</f>
        <v>1170.8200000000006</v>
      </c>
    </row>
    <row r="4" spans="1:2" x14ac:dyDescent="0.25">
      <c r="A4" t="s">
        <v>1004</v>
      </c>
      <c r="B4" s="90">
        <v>15.02</v>
      </c>
    </row>
    <row r="5" spans="1:2" x14ac:dyDescent="0.25">
      <c r="A5" t="s">
        <v>1036</v>
      </c>
      <c r="B5" s="90">
        <v>150</v>
      </c>
    </row>
    <row r="6" spans="1:2" x14ac:dyDescent="0.25">
      <c r="A6" t="s">
        <v>990</v>
      </c>
      <c r="B6" s="90">
        <v>40</v>
      </c>
    </row>
    <row r="7" spans="1:2" x14ac:dyDescent="0.25">
      <c r="A7" t="s">
        <v>901</v>
      </c>
      <c r="B7" s="90">
        <v>18.42</v>
      </c>
    </row>
    <row r="8" spans="1:2" x14ac:dyDescent="0.25">
      <c r="A8" t="s">
        <v>1041</v>
      </c>
      <c r="B8" s="90">
        <v>20</v>
      </c>
    </row>
    <row r="9" spans="1:2" x14ac:dyDescent="0.25">
      <c r="A9" t="s">
        <v>1028</v>
      </c>
      <c r="B9" s="90">
        <v>8</v>
      </c>
    </row>
    <row r="10" spans="1:2" x14ac:dyDescent="0.25">
      <c r="A10" t="s">
        <v>1042</v>
      </c>
      <c r="B10" s="90">
        <v>9.45</v>
      </c>
    </row>
    <row r="11" spans="1:2" x14ac:dyDescent="0.25">
      <c r="A11" t="s">
        <v>1042</v>
      </c>
      <c r="B11" s="90">
        <v>18.55</v>
      </c>
    </row>
    <row r="12" spans="1:2" x14ac:dyDescent="0.25">
      <c r="A12" t="s">
        <v>42</v>
      </c>
      <c r="B12" s="90">
        <v>69.95</v>
      </c>
    </row>
    <row r="13" spans="1:2" x14ac:dyDescent="0.25">
      <c r="A13" t="s">
        <v>1042</v>
      </c>
      <c r="B13" s="90">
        <v>44.99</v>
      </c>
    </row>
    <row r="14" spans="1:2" x14ac:dyDescent="0.25">
      <c r="A14" t="s">
        <v>892</v>
      </c>
      <c r="B14" s="90">
        <v>55</v>
      </c>
    </row>
    <row r="15" spans="1:2" x14ac:dyDescent="0.25">
      <c r="A15" t="s">
        <v>1028</v>
      </c>
      <c r="B15" s="90">
        <v>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 zoomScale="100" zoomScaleNormal="100">
      <selection activeCell="B19" sqref="B19"/>
    </sheetView>
  </sheetViews>
  <sheetFormatPr defaultRowHeight="15" outlineLevelRow="0" outlineLevelCol="0" x14ac:dyDescent="0" defaultColWidth="8.83203125"/>
  <cols>
    <col min="1" max="1" width="16" customWidth="1"/>
    <col min="2" max="2" width="14.5" customWidth="1"/>
    <col min="3" max="3" width="14.6640625" customWidth="1"/>
    <col min="4" max="4" width="15.1640625" customWidth="1"/>
    <col min="5" max="5" width="12.1640625" customWidth="1"/>
  </cols>
  <sheetData>
    <row r="1" ht="16" customHeight="1" spans="1:5" x14ac:dyDescent="0.25">
      <c r="A1" s="36" t="s">
        <v>897</v>
      </c>
      <c r="B1" s="396" t="s">
        <v>548</v>
      </c>
      <c r="D1" s="36" t="s">
        <v>1033</v>
      </c>
      <c r="E1" s="399">
        <f>SUM(B:B)</f>
        <v>5494.46</v>
      </c>
    </row>
    <row r="2" ht="16" customHeight="1" spans="1:5" x14ac:dyDescent="0.25">
      <c r="A2" t="s">
        <v>341</v>
      </c>
      <c r="B2" s="45">
        <f>4350</f>
        <v>4350</v>
      </c>
      <c r="D2" s="36" t="s">
        <v>1034</v>
      </c>
      <c r="E2" s="123">
        <v>8995</v>
      </c>
    </row>
    <row r="3" ht="16" customHeight="1" spans="1:5" x14ac:dyDescent="0.25">
      <c r="A3" t="s">
        <v>899</v>
      </c>
      <c r="B3" s="90">
        <v>346.8</v>
      </c>
      <c r="D3" s="36" t="s">
        <v>1035</v>
      </c>
      <c r="E3" s="123">
        <f>E2-E1</f>
        <v>3500.54</v>
      </c>
    </row>
    <row r="4" spans="1:2" x14ac:dyDescent="0.25">
      <c r="A4" t="s">
        <v>864</v>
      </c>
      <c r="B4" s="90">
        <v>76.69</v>
      </c>
    </row>
    <row r="5" spans="1:2" x14ac:dyDescent="0.25">
      <c r="A5" t="s">
        <v>765</v>
      </c>
      <c r="B5" s="90">
        <v>5</v>
      </c>
    </row>
    <row r="6" spans="1:2" x14ac:dyDescent="0.25">
      <c r="A6" t="s">
        <v>887</v>
      </c>
      <c r="B6" s="90">
        <v>300</v>
      </c>
    </row>
    <row r="7" spans="1:2" x14ac:dyDescent="0.25">
      <c r="A7" t="s">
        <v>1043</v>
      </c>
      <c r="B7" s="90">
        <v>185</v>
      </c>
    </row>
    <row r="8" spans="1:2" x14ac:dyDescent="0.25">
      <c r="A8" t="s">
        <v>864</v>
      </c>
      <c r="B8" s="90">
        <v>7.76</v>
      </c>
    </row>
    <row r="9" spans="1:2" x14ac:dyDescent="0.25">
      <c r="A9" t="s">
        <v>765</v>
      </c>
      <c r="B9" s="90">
        <v>20</v>
      </c>
    </row>
    <row r="10" spans="1:2" x14ac:dyDescent="0.25">
      <c r="A10" t="s">
        <v>901</v>
      </c>
      <c r="B10" s="90">
        <v>12</v>
      </c>
    </row>
    <row r="11" spans="1:2" x14ac:dyDescent="0.25">
      <c r="A11" t="s">
        <v>909</v>
      </c>
      <c r="B11" s="90">
        <v>8</v>
      </c>
    </row>
    <row r="12" spans="1:2" x14ac:dyDescent="0.25">
      <c r="A12" t="s">
        <v>909</v>
      </c>
      <c r="B12" s="90">
        <v>20</v>
      </c>
    </row>
    <row r="13" spans="1:2" x14ac:dyDescent="0.25">
      <c r="A13" t="s">
        <v>991</v>
      </c>
      <c r="B13" s="90">
        <v>9.92</v>
      </c>
    </row>
    <row r="14" spans="1:2" x14ac:dyDescent="0.25">
      <c r="A14" t="s">
        <v>1044</v>
      </c>
      <c r="B14" s="90">
        <v>24.99</v>
      </c>
    </row>
    <row r="15" spans="1:3" x14ac:dyDescent="0.25">
      <c r="A15" t="s">
        <v>1045</v>
      </c>
      <c r="B15" s="90">
        <v>-297</v>
      </c>
      <c r="C15" t="s">
        <v>1046</v>
      </c>
    </row>
    <row r="16" spans="1:2" x14ac:dyDescent="0.25">
      <c r="A16" t="s">
        <v>864</v>
      </c>
      <c r="B16" s="90">
        <v>9.9</v>
      </c>
    </row>
    <row r="17" spans="1:2" x14ac:dyDescent="0.25">
      <c r="A17" t="s">
        <v>1044</v>
      </c>
      <c r="B17" s="90">
        <v>265.39</v>
      </c>
    </row>
    <row r="18" spans="1:2" x14ac:dyDescent="0.25">
      <c r="A18" t="s">
        <v>880</v>
      </c>
      <c r="B18" s="90">
        <v>140</v>
      </c>
    </row>
    <row r="19" spans="1:1" x14ac:dyDescent="0.25">
      <c r="A19" t="s">
        <v>42</v>
      </c>
    </row>
    <row r="20" spans="1:2" x14ac:dyDescent="0.25">
      <c r="A20" t="s">
        <v>864</v>
      </c>
      <c r="B20" s="90">
        <v>10.01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 zoomScale="100" zoomScaleNormal="100">
      <selection activeCell="E18" sqref="E18"/>
    </sheetView>
  </sheetViews>
  <sheetFormatPr defaultRowHeight="15" outlineLevelRow="0" outlineLevelCol="0" x14ac:dyDescent="0" defaultColWidth="8.83203125"/>
  <cols>
    <col min="1" max="1" width="9.83203125" customWidth="1"/>
    <col min="2" max="2" width="12.1640625" customWidth="1"/>
    <col min="4" max="4" width="14.1640625" customWidth="1"/>
    <col min="5" max="5" width="14.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5437.63</v>
      </c>
    </row>
    <row r="2" ht="16" customHeight="1" spans="1:5" x14ac:dyDescent="0.25">
      <c r="A2" s="376" t="s">
        <v>964</v>
      </c>
      <c r="B2" s="390">
        <v>4250</v>
      </c>
      <c r="C2" s="376"/>
      <c r="D2" s="36" t="s">
        <v>898</v>
      </c>
      <c r="E2" s="378">
        <v>8602</v>
      </c>
    </row>
    <row r="3" ht="16" customHeight="1" spans="1:5" x14ac:dyDescent="0.25">
      <c r="A3" s="376" t="s">
        <v>359</v>
      </c>
      <c r="B3" s="390">
        <v>346.8</v>
      </c>
      <c r="C3" s="376"/>
      <c r="D3" s="36" t="s">
        <v>900</v>
      </c>
      <c r="E3" s="378">
        <f>E2-E1</f>
        <v>3164.37</v>
      </c>
    </row>
    <row r="4" spans="1:2" x14ac:dyDescent="0.25">
      <c r="A4" s="376" t="s">
        <v>573</v>
      </c>
      <c r="B4" s="90">
        <v>16.2</v>
      </c>
    </row>
    <row r="5" spans="1:5" x14ac:dyDescent="0.25">
      <c r="A5" s="376" t="s">
        <v>887</v>
      </c>
      <c r="B5" s="90">
        <v>760</v>
      </c>
      <c r="D5" s="381" t="s">
        <v>1047</v>
      </c>
      <c r="E5"/>
    </row>
    <row r="6" ht="16" customHeight="1" spans="1:5" x14ac:dyDescent="0.25">
      <c r="A6" s="376" t="s">
        <v>573</v>
      </c>
      <c r="B6" s="90">
        <v>24.63</v>
      </c>
      <c r="D6" s="36" t="s">
        <v>899</v>
      </c>
      <c r="E6" s="90">
        <v>300</v>
      </c>
    </row>
    <row r="7" ht="16" customHeight="1" spans="1:5" x14ac:dyDescent="0.25">
      <c r="A7" s="376" t="s">
        <v>870</v>
      </c>
      <c r="B7" s="90">
        <v>40</v>
      </c>
      <c r="D7" s="36" t="s">
        <v>570</v>
      </c>
      <c r="E7" s="90">
        <v>80</v>
      </c>
    </row>
    <row r="8" ht="16" customHeight="1" spans="1:5" x14ac:dyDescent="0.25">
      <c r="A8" s="376"/>
      <c r="B8" s="90"/>
      <c r="D8" s="36" t="s">
        <v>573</v>
      </c>
      <c r="E8" s="90">
        <v>25.93</v>
      </c>
    </row>
    <row r="9" spans="2:5" x14ac:dyDescent="0.25">
      <c r="B9" s="90"/>
      <c r="D9" t="s">
        <v>864</v>
      </c>
      <c r="E9" s="90">
        <v>29.75</v>
      </c>
    </row>
    <row r="10" spans="2:2" x14ac:dyDescent="0.25">
      <c r="B10" s="90"/>
    </row>
    <row r="11" spans="2:2" x14ac:dyDescent="0.25">
      <c r="B11" s="90"/>
    </row>
    <row r="12" spans="2:5" x14ac:dyDescent="0.25">
      <c r="B12" s="90"/>
      <c r="E12" s="90">
        <f>E6-E7-E8-E9</f>
        <v>164.32</v>
      </c>
    </row>
    <row r="13" spans="2:2" x14ac:dyDescent="0.25">
      <c r="B13" s="90"/>
    </row>
    <row r="14" spans="2:2" x14ac:dyDescent="0.25">
      <c r="B14" s="90"/>
    </row>
    <row r="15" spans="2:2" x14ac:dyDescent="0.25">
      <c r="B15" s="90"/>
    </row>
  </sheetData>
  <mergeCells count="1">
    <mergeCell ref="D5:E5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2"/>
  <sheetViews>
    <sheetView workbookViewId="0" zoomScale="100" zoomScaleNormal="100">
      <selection activeCell="F22" sqref="F22"/>
    </sheetView>
  </sheetViews>
  <sheetFormatPr defaultRowHeight="15" outlineLevelRow="0" outlineLevelCol="0" x14ac:dyDescent="0" defaultColWidth="14.5"/>
  <cols>
    <col min="3" max="3" width="18.83203125" customWidth="1"/>
  </cols>
  <sheetData>
    <row r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3539.4299999999994</v>
      </c>
    </row>
    <row r="2" spans="1:5" x14ac:dyDescent="0.25">
      <c r="A2" s="376" t="s">
        <v>964</v>
      </c>
      <c r="B2" s="377">
        <v>1500</v>
      </c>
      <c r="C2" s="376"/>
      <c r="D2" s="36" t="s">
        <v>898</v>
      </c>
      <c r="E2" s="378"/>
    </row>
    <row r="3" spans="1:5" x14ac:dyDescent="0.25">
      <c r="A3" s="376" t="s">
        <v>986</v>
      </c>
      <c r="B3" s="377">
        <v>100</v>
      </c>
      <c r="C3" s="376"/>
      <c r="D3" s="36" t="s">
        <v>900</v>
      </c>
      <c r="E3" s="378">
        <f>E2-E1</f>
        <v>-3539.4299999999994</v>
      </c>
    </row>
    <row r="4" spans="1:2" x14ac:dyDescent="0.25">
      <c r="A4" s="381" t="s">
        <v>1048</v>
      </c>
      <c r="B4" s="400">
        <v>4.95</v>
      </c>
    </row>
    <row r="5" spans="1:2" x14ac:dyDescent="0.25">
      <c r="A5" s="381" t="s">
        <v>986</v>
      </c>
      <c r="B5" s="400">
        <v>95</v>
      </c>
    </row>
    <row r="6" spans="1:2" x14ac:dyDescent="0.25">
      <c r="A6" s="381" t="s">
        <v>959</v>
      </c>
      <c r="B6" s="400">
        <v>105</v>
      </c>
    </row>
    <row r="7" spans="1:2" x14ac:dyDescent="0.25">
      <c r="A7" s="381" t="s">
        <v>864</v>
      </c>
      <c r="B7" s="400">
        <v>4.55</v>
      </c>
    </row>
    <row r="8" spans="1:2" x14ac:dyDescent="0.25">
      <c r="A8" s="381" t="s">
        <v>765</v>
      </c>
      <c r="B8" s="400">
        <v>18</v>
      </c>
    </row>
    <row r="9" spans="1:2" x14ac:dyDescent="0.25">
      <c r="A9" s="381" t="s">
        <v>143</v>
      </c>
      <c r="B9" s="400">
        <v>88.74</v>
      </c>
    </row>
    <row r="10" spans="1:2" x14ac:dyDescent="0.25">
      <c r="A10" s="381" t="s">
        <v>987</v>
      </c>
      <c r="B10" s="400">
        <v>1600</v>
      </c>
    </row>
    <row r="11" spans="1:2" x14ac:dyDescent="0.25">
      <c r="A11" s="381" t="s">
        <v>864</v>
      </c>
      <c r="B11" s="400">
        <v>6.95</v>
      </c>
    </row>
    <row r="12" spans="1:2" x14ac:dyDescent="0.25">
      <c r="A12" s="381" t="s">
        <v>573</v>
      </c>
      <c r="B12" s="400">
        <v>16.24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2"/>
  <sheetViews>
    <sheetView workbookViewId="0" zoomScale="100" zoomScaleNormal="100">
      <selection activeCell="A13" sqref="A13"/>
    </sheetView>
  </sheetViews>
  <sheetFormatPr defaultRowHeight="15" outlineLevelRow="0" outlineLevelCol="0" x14ac:dyDescent="0" defaultColWidth="14.5"/>
  <cols>
    <col min="3" max="3" width="18.83203125" customWidth="1"/>
  </cols>
  <sheetData>
    <row r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2639.2799999999997</v>
      </c>
    </row>
    <row r="2" spans="1:5" x14ac:dyDescent="0.25">
      <c r="A2" s="376" t="s">
        <v>964</v>
      </c>
      <c r="B2" s="390">
        <v>1400</v>
      </c>
      <c r="C2" s="376"/>
      <c r="D2" s="36" t="s">
        <v>898</v>
      </c>
      <c r="E2" s="378">
        <v>3595</v>
      </c>
    </row>
    <row r="3" spans="1:5" x14ac:dyDescent="0.25">
      <c r="A3" s="376" t="s">
        <v>359</v>
      </c>
      <c r="B3" s="390">
        <v>274.8</v>
      </c>
      <c r="C3" s="376"/>
      <c r="D3" s="36"/>
      <c r="E3" s="378"/>
    </row>
    <row r="4" spans="1:5" x14ac:dyDescent="0.25">
      <c r="A4" s="376" t="s">
        <v>864</v>
      </c>
      <c r="B4" s="390">
        <v>9.91</v>
      </c>
      <c r="C4" s="376"/>
      <c r="D4" s="36" t="s">
        <v>900</v>
      </c>
      <c r="E4" s="378">
        <f>E2-E1</f>
        <v>955.7200000000003</v>
      </c>
    </row>
    <row r="5" spans="1:2" x14ac:dyDescent="0.25">
      <c r="A5" s="381" t="s">
        <v>573</v>
      </c>
      <c r="B5" s="390">
        <v>14.25</v>
      </c>
    </row>
    <row r="6" spans="1:2" x14ac:dyDescent="0.25">
      <c r="A6" s="381" t="s">
        <v>573</v>
      </c>
      <c r="B6" s="390">
        <v>15.15</v>
      </c>
    </row>
    <row r="7" spans="1:2" x14ac:dyDescent="0.25">
      <c r="A7" s="381" t="s">
        <v>1036</v>
      </c>
      <c r="B7" s="390">
        <v>600</v>
      </c>
    </row>
    <row r="8" spans="1:2" x14ac:dyDescent="0.25">
      <c r="A8" s="381" t="s">
        <v>1049</v>
      </c>
      <c r="B8" s="390">
        <v>200</v>
      </c>
    </row>
    <row r="9" spans="1:2" x14ac:dyDescent="0.25">
      <c r="A9" s="381" t="s">
        <v>573</v>
      </c>
      <c r="B9" s="390">
        <v>17.5</v>
      </c>
    </row>
    <row r="10" spans="1:2" x14ac:dyDescent="0.25">
      <c r="A10" s="381" t="s">
        <v>1042</v>
      </c>
      <c r="B10" s="90">
        <v>9.95</v>
      </c>
    </row>
    <row r="11" spans="1:2" x14ac:dyDescent="0.25">
      <c r="A11" s="381" t="s">
        <v>864</v>
      </c>
      <c r="B11" s="390">
        <v>20</v>
      </c>
    </row>
    <row r="12" spans="1:2" x14ac:dyDescent="0.25">
      <c r="A12" s="381" t="s">
        <v>42</v>
      </c>
      <c r="B12" s="390">
        <v>77.72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zoomScale="100" zoomScaleNormal="100">
      <selection activeCell="E3" sqref="E3"/>
    </sheetView>
  </sheetViews>
  <sheetFormatPr defaultRowHeight="15" outlineLevelRow="0" outlineLevelCol="0" x14ac:dyDescent="0" defaultColWidth="8.83203125"/>
  <cols>
    <col min="1" max="1" width="8.33203125" customWidth="1"/>
    <col min="2" max="2" width="13.83203125" customWidth="1"/>
    <col min="4" max="4" width="18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200</v>
      </c>
    </row>
    <row r="2" ht="16" customHeight="1" spans="1:5" x14ac:dyDescent="0.25">
      <c r="A2" s="376" t="s">
        <v>1050</v>
      </c>
      <c r="B2" s="390">
        <v>200</v>
      </c>
      <c r="C2" s="376"/>
      <c r="D2" s="36" t="s">
        <v>898</v>
      </c>
      <c r="E2" s="378">
        <v>500</v>
      </c>
    </row>
    <row r="3" spans="1:5" x14ac:dyDescent="0.25">
      <c r="A3" s="376"/>
      <c r="B3" s="390"/>
      <c r="C3" s="376"/>
      <c r="D3" s="36"/>
      <c r="E3" s="378"/>
    </row>
    <row r="4" ht="16" customHeight="1" spans="1:5" x14ac:dyDescent="0.25">
      <c r="A4" s="376"/>
      <c r="B4" s="390"/>
      <c r="C4" s="376"/>
      <c r="D4" s="36" t="s">
        <v>900</v>
      </c>
      <c r="E4" s="378">
        <f>E2-E1</f>
        <v>300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 zoomScale="100" zoomScaleNormal="100">
      <selection activeCell="L32" sqref="L32"/>
    </sheetView>
  </sheetViews>
  <sheetFormatPr defaultRowHeight="15" outlineLevelRow="0" outlineLevelCol="0" x14ac:dyDescent="0" defaultColWidth="8.83203125"/>
  <cols>
    <col min="1" max="1" width="10.83203125" customWidth="1"/>
    <col min="2" max="2" width="10.33203125" customWidth="1"/>
    <col min="4" max="4" width="15.1640625" customWidth="1"/>
    <col min="5" max="5" width="14.5" customWidth="1"/>
  </cols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SUM(B$3:B$1048576)</f>
        <v>783.6099999999999</v>
      </c>
    </row>
    <row r="2" ht="16" customHeight="1" spans="1:5" x14ac:dyDescent="0.25">
      <c r="A2" t="s">
        <v>1051</v>
      </c>
      <c r="B2" s="90">
        <v>700</v>
      </c>
      <c r="D2" s="36" t="s">
        <v>898</v>
      </c>
      <c r="E2" s="378">
        <v>2950</v>
      </c>
    </row>
    <row r="3" ht="16" customHeight="1" spans="1:5" x14ac:dyDescent="0.25">
      <c r="A3" t="s">
        <v>573</v>
      </c>
      <c r="B3" s="90">
        <v>18.07</v>
      </c>
      <c r="D3" s="36" t="s">
        <v>900</v>
      </c>
      <c r="E3" s="378">
        <f>E2-E1</f>
        <v>2166.3900000000003</v>
      </c>
    </row>
    <row r="4" spans="1:2" x14ac:dyDescent="0.25">
      <c r="A4" t="s">
        <v>573</v>
      </c>
      <c r="B4" s="90">
        <v>21.45</v>
      </c>
    </row>
    <row r="5" spans="1:2" x14ac:dyDescent="0.25">
      <c r="A5" t="s">
        <v>765</v>
      </c>
      <c r="B5" s="90">
        <v>15</v>
      </c>
    </row>
    <row r="6" spans="1:2" x14ac:dyDescent="0.25">
      <c r="A6" t="s">
        <v>573</v>
      </c>
      <c r="B6" s="90">
        <v>19.89</v>
      </c>
    </row>
    <row r="7" spans="1:2" x14ac:dyDescent="0.25">
      <c r="A7" t="s">
        <v>1052</v>
      </c>
      <c r="B7" s="90">
        <v>18.86</v>
      </c>
    </row>
    <row r="8" spans="1:2" x14ac:dyDescent="0.25">
      <c r="A8" t="s">
        <v>912</v>
      </c>
      <c r="B8" s="90">
        <v>7.3</v>
      </c>
    </row>
    <row r="9" spans="1:2" x14ac:dyDescent="0.25">
      <c r="A9" t="s">
        <v>1036</v>
      </c>
      <c r="B9" s="90">
        <v>270</v>
      </c>
    </row>
    <row r="10" spans="1:2" x14ac:dyDescent="0.25">
      <c r="A10" t="s">
        <v>1036</v>
      </c>
      <c r="B10" s="90">
        <v>400</v>
      </c>
    </row>
    <row r="11" spans="1:2" x14ac:dyDescent="0.25">
      <c r="A11" t="s">
        <v>973</v>
      </c>
      <c r="B11" s="90">
        <v>8</v>
      </c>
    </row>
    <row r="12" spans="1:2" x14ac:dyDescent="0.25">
      <c r="A12" t="s">
        <v>864</v>
      </c>
      <c r="B12" s="90">
        <v>5.04</v>
      </c>
    </row>
    <row r="13" spans="2:2" x14ac:dyDescent="0.25">
      <c r="B13" s="90"/>
    </row>
    <row r="14" spans="2:2" x14ac:dyDescent="0.25">
      <c r="B14" s="90"/>
    </row>
    <row r="15" spans="2:2" x14ac:dyDescent="0.25">
      <c r="B15" s="90"/>
    </row>
    <row r="16" spans="2:2" x14ac:dyDescent="0.25">
      <c r="B16" s="90"/>
    </row>
    <row r="17" spans="2:2" x14ac:dyDescent="0.25">
      <c r="B17" s="90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3"/>
  <sheetViews>
    <sheetView workbookViewId="0" zoomScale="100" zoomScaleNormal="100">
      <selection activeCell="C26" sqref="C26"/>
    </sheetView>
  </sheetViews>
  <sheetFormatPr defaultRowHeight="15" outlineLevelRow="0" outlineLevelCol="0" x14ac:dyDescent="0" defaultColWidth="14.5"/>
  <sheetData>
    <row r="1" ht="16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4895.800000000001</v>
      </c>
    </row>
    <row r="2" ht="16" customHeight="1" spans="1:5" x14ac:dyDescent="0.25">
      <c r="A2" s="376" t="s">
        <v>964</v>
      </c>
      <c r="B2" s="377">
        <v>4252.51</v>
      </c>
      <c r="C2" s="376"/>
      <c r="D2" s="36" t="s">
        <v>898</v>
      </c>
      <c r="E2" s="378">
        <v>7295</v>
      </c>
    </row>
    <row r="3" ht="16" customHeight="1" spans="1:5" x14ac:dyDescent="0.25">
      <c r="A3" s="376" t="s">
        <v>359</v>
      </c>
      <c r="B3" s="377">
        <v>346.8</v>
      </c>
      <c r="C3" s="376"/>
      <c r="D3" s="36" t="s">
        <v>900</v>
      </c>
      <c r="E3" s="378">
        <f>E2-E1</f>
        <v>2399.199999999999</v>
      </c>
    </row>
    <row r="4" ht="16" customHeight="1" spans="1:5" x14ac:dyDescent="0.25">
      <c r="A4" s="381" t="s">
        <v>573</v>
      </c>
      <c r="B4" s="377">
        <v>14.27</v>
      </c>
      <c r="D4" s="36" t="s">
        <v>33</v>
      </c>
      <c r="E4" s="386">
        <f>E3/2</f>
        <v>1199.5999999999995</v>
      </c>
    </row>
    <row r="5" ht="15" customHeight="1" spans="1:2" x14ac:dyDescent="0.25">
      <c r="A5" s="381" t="s">
        <v>765</v>
      </c>
      <c r="B5" s="377">
        <v>30</v>
      </c>
    </row>
    <row r="6" ht="15" customHeight="1" spans="1:2" x14ac:dyDescent="0.25">
      <c r="A6" s="381" t="s">
        <v>573</v>
      </c>
      <c r="B6" s="377">
        <v>18.3</v>
      </c>
    </row>
    <row r="7" ht="15" customHeight="1" spans="1:2" x14ac:dyDescent="0.25">
      <c r="A7" s="381" t="s">
        <v>1053</v>
      </c>
      <c r="B7" s="377">
        <v>21.79</v>
      </c>
    </row>
    <row r="8" ht="15" customHeight="1" spans="1:2" x14ac:dyDescent="0.25">
      <c r="A8" s="381" t="s">
        <v>1054</v>
      </c>
      <c r="B8" s="377">
        <v>21.6</v>
      </c>
    </row>
    <row r="9" ht="15" customHeight="1" spans="1:2" x14ac:dyDescent="0.25">
      <c r="A9" s="381" t="s">
        <v>573</v>
      </c>
      <c r="B9" s="377">
        <v>18.3</v>
      </c>
    </row>
    <row r="10" ht="15" customHeight="1" spans="1:2" x14ac:dyDescent="0.25">
      <c r="A10" s="381" t="s">
        <v>765</v>
      </c>
      <c r="B10" s="377">
        <v>15</v>
      </c>
    </row>
    <row r="11" ht="15" customHeight="1" spans="1:2" x14ac:dyDescent="0.25">
      <c r="A11" s="381" t="s">
        <v>991</v>
      </c>
      <c r="B11" s="377">
        <v>7.28</v>
      </c>
    </row>
    <row r="12" ht="15" customHeight="1" spans="1:2" x14ac:dyDescent="0.25">
      <c r="A12" s="381" t="s">
        <v>42</v>
      </c>
      <c r="B12" s="377">
        <v>69.95</v>
      </c>
    </row>
    <row r="13" ht="15" customHeight="1" spans="1:2" x14ac:dyDescent="0.25">
      <c r="A13" s="381" t="s">
        <v>1055</v>
      </c>
      <c r="B13" s="377">
        <v>80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5"/>
  <sheetViews>
    <sheetView workbookViewId="0" zoomScale="100" zoomScaleNormal="100">
      <selection activeCell="E1" sqref="E1"/>
    </sheetView>
  </sheetViews>
  <sheetFormatPr defaultRowHeight="15.75" outlineLevelRow="0" outlineLevelCol="0" x14ac:dyDescent="0" defaultColWidth="12.1640625" customHeight="1"/>
  <cols>
    <col min="1" max="2" width="12.1640625" style="401" customWidth="1"/>
    <col min="3" max="3" width="16.33203125" style="401" customWidth="1"/>
    <col min="4" max="16384" width="12.1640625" style="401" customWidth="1"/>
  </cols>
  <sheetData>
    <row r="1" ht="15.75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2575.9999999999995</v>
      </c>
    </row>
    <row r="2" ht="15.75" customHeight="1" spans="1:5" x14ac:dyDescent="0.25">
      <c r="A2" s="376" t="s">
        <v>964</v>
      </c>
      <c r="B2" s="377">
        <v>1500</v>
      </c>
      <c r="C2" s="376"/>
      <c r="D2" s="36" t="s">
        <v>898</v>
      </c>
      <c r="E2" s="378">
        <v>3900</v>
      </c>
    </row>
    <row r="3" ht="15.75" customHeight="1" spans="1:5" x14ac:dyDescent="0.25">
      <c r="A3" s="376" t="s">
        <v>359</v>
      </c>
      <c r="B3" s="377">
        <v>274.8</v>
      </c>
      <c r="C3" s="376"/>
      <c r="D3" s="36" t="s">
        <v>900</v>
      </c>
      <c r="E3" s="378">
        <f>E2-E1</f>
        <v>1324.0000000000005</v>
      </c>
    </row>
    <row r="4" ht="15.75" customHeight="1" spans="1:2" x14ac:dyDescent="0.25">
      <c r="A4" s="402" t="s">
        <v>887</v>
      </c>
      <c r="B4" s="403">
        <v>120</v>
      </c>
    </row>
    <row r="5" ht="15.75" customHeight="1" spans="1:2" x14ac:dyDescent="0.25">
      <c r="A5" s="402" t="s">
        <v>559</v>
      </c>
      <c r="B5" s="403">
        <v>51.3</v>
      </c>
    </row>
    <row r="6" ht="15.75" customHeight="1" spans="1:2" x14ac:dyDescent="0.25">
      <c r="A6" s="402" t="s">
        <v>1056</v>
      </c>
      <c r="B6" s="403">
        <v>53.3</v>
      </c>
    </row>
    <row r="7" ht="15.75" customHeight="1" spans="1:2" x14ac:dyDescent="0.25">
      <c r="A7" s="402" t="s">
        <v>573</v>
      </c>
      <c r="B7" s="403">
        <v>20.52</v>
      </c>
    </row>
    <row r="8" ht="15.75" customHeight="1" spans="1:2" x14ac:dyDescent="0.25">
      <c r="A8" s="402" t="s">
        <v>864</v>
      </c>
      <c r="B8" s="403">
        <v>20.01</v>
      </c>
    </row>
    <row r="9" ht="15.75" customHeight="1" spans="1:2" x14ac:dyDescent="0.25">
      <c r="A9" s="402" t="s">
        <v>870</v>
      </c>
      <c r="B9" s="403">
        <v>40</v>
      </c>
    </row>
    <row r="10" ht="15.75" customHeight="1" spans="1:2" x14ac:dyDescent="0.25">
      <c r="A10" s="402" t="s">
        <v>1029</v>
      </c>
      <c r="B10" s="403">
        <v>50</v>
      </c>
    </row>
    <row r="11" ht="15.75" customHeight="1" spans="1:2" x14ac:dyDescent="0.25">
      <c r="A11" s="402" t="s">
        <v>887</v>
      </c>
      <c r="B11" s="403">
        <v>120</v>
      </c>
    </row>
    <row r="12" ht="15.75" customHeight="1" spans="1:2" x14ac:dyDescent="0.25">
      <c r="A12" s="402" t="s">
        <v>573</v>
      </c>
      <c r="B12" s="403">
        <v>18.6</v>
      </c>
    </row>
    <row r="13" ht="14" customHeight="1" spans="1:2" x14ac:dyDescent="0.25">
      <c r="A13" s="402" t="s">
        <v>573</v>
      </c>
      <c r="B13" s="403">
        <v>15.24</v>
      </c>
    </row>
    <row r="14" ht="14" customHeight="1" spans="1:2" x14ac:dyDescent="0.25">
      <c r="A14" s="402" t="s">
        <v>573</v>
      </c>
      <c r="B14" s="403">
        <v>15.88</v>
      </c>
    </row>
    <row r="15" ht="14" customHeight="1" spans="1:2" x14ac:dyDescent="0.25">
      <c r="A15" s="402" t="s">
        <v>573</v>
      </c>
      <c r="B15" s="403">
        <v>15.85</v>
      </c>
    </row>
    <row r="16" ht="14" customHeight="1" spans="1:2" x14ac:dyDescent="0.25">
      <c r="A16" s="402" t="s">
        <v>1057</v>
      </c>
      <c r="B16" s="403">
        <v>100</v>
      </c>
    </row>
    <row r="17" ht="14" customHeight="1" spans="1:3" x14ac:dyDescent="0.25">
      <c r="A17" s="402" t="s">
        <v>656</v>
      </c>
      <c r="B17" s="403">
        <v>70.74</v>
      </c>
      <c r="C17" s="404" t="s">
        <v>1058</v>
      </c>
    </row>
    <row r="18" ht="14" customHeight="1" spans="1:2" x14ac:dyDescent="0.25">
      <c r="A18" s="402" t="s">
        <v>765</v>
      </c>
      <c r="B18" s="403">
        <v>25</v>
      </c>
    </row>
    <row r="19" ht="14" customHeight="1" spans="1:2" x14ac:dyDescent="0.25">
      <c r="A19" s="402" t="s">
        <v>42</v>
      </c>
      <c r="B19" s="403">
        <v>64.76</v>
      </c>
    </row>
    <row r="20" ht="14" customHeight="1" spans="1:2" x14ac:dyDescent="0.25">
      <c r="A20" s="402"/>
      <c r="B20" s="403"/>
    </row>
    <row r="21" ht="14" customHeight="1" spans="1:2" x14ac:dyDescent="0.25">
      <c r="A21" s="402"/>
      <c r="B21" s="403"/>
    </row>
    <row r="22" ht="14" customHeight="1" spans="1:2" x14ac:dyDescent="0.25">
      <c r="A22" s="402"/>
      <c r="B22" s="403"/>
    </row>
    <row r="23" ht="14" customHeight="1" spans="1:2" x14ac:dyDescent="0.25">
      <c r="A23" s="402"/>
      <c r="B23" s="403"/>
    </row>
    <row r="24" ht="14" customHeight="1" spans="1:2" x14ac:dyDescent="0.25">
      <c r="A24" s="402"/>
      <c r="B24" s="403"/>
    </row>
    <row r="25" ht="14" customHeight="1" spans="1:2" x14ac:dyDescent="0.25">
      <c r="A25" s="402"/>
      <c r="B25" s="403"/>
    </row>
    <row r="26" ht="14" customHeight="1" spans="1:2" x14ac:dyDescent="0.25">
      <c r="A26" s="402"/>
      <c r="B26" s="403"/>
    </row>
    <row r="27" ht="14" customHeight="1" spans="1:2" x14ac:dyDescent="0.25">
      <c r="A27" s="402"/>
      <c r="B27" s="403"/>
    </row>
    <row r="28" ht="14" customHeight="1" spans="1:2" x14ac:dyDescent="0.25">
      <c r="A28" s="402"/>
      <c r="B28" s="403"/>
    </row>
    <row r="29" ht="14" customHeight="1" spans="1:2" x14ac:dyDescent="0.25">
      <c r="A29" s="402"/>
      <c r="B29" s="403"/>
    </row>
    <row r="30" ht="14" customHeight="1" spans="1:2" x14ac:dyDescent="0.25">
      <c r="A30" s="402"/>
      <c r="B30" s="403"/>
    </row>
    <row r="31" ht="14" customHeight="1" spans="1:2" x14ac:dyDescent="0.25">
      <c r="A31" s="402"/>
      <c r="B31" s="403"/>
    </row>
    <row r="32" ht="14" customHeight="1" spans="2:2" x14ac:dyDescent="0.25">
      <c r="B32" s="403"/>
    </row>
    <row r="33" ht="14" customHeight="1" spans="2:2" x14ac:dyDescent="0.25">
      <c r="B33" s="403"/>
    </row>
    <row r="34" ht="14" customHeight="1" spans="2:2" x14ac:dyDescent="0.25">
      <c r="B34" s="403"/>
    </row>
    <row r="35" ht="14" customHeight="1" spans="2:2" x14ac:dyDescent="0.25">
      <c r="B35" s="403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1"/>
  <sheetViews>
    <sheetView workbookViewId="0" zoomScale="100" zoomScaleNormal="100">
      <selection activeCell="L26" sqref="L26"/>
    </sheetView>
  </sheetViews>
  <sheetFormatPr defaultRowHeight="15" outlineLevelRow="0" outlineLevelCol="0" x14ac:dyDescent="0" defaultColWidth="14.5"/>
  <sheetData>
    <row r="1" spans="1:8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8361.509999999998</v>
      </c>
      <c r="G1" t="s">
        <v>1059</v>
      </c>
      <c r="H1" t="s">
        <v>1060</v>
      </c>
    </row>
    <row r="2" spans="1:8" x14ac:dyDescent="0.25">
      <c r="A2" s="376" t="s">
        <v>964</v>
      </c>
      <c r="B2" s="379">
        <v>4250</v>
      </c>
      <c r="C2" s="376"/>
      <c r="D2" s="36" t="s">
        <v>898</v>
      </c>
      <c r="E2" s="378">
        <v>8295</v>
      </c>
      <c r="G2" t="s">
        <v>1061</v>
      </c>
      <c r="H2" s="123">
        <v>1500</v>
      </c>
    </row>
    <row r="3" spans="1:5" x14ac:dyDescent="0.25">
      <c r="A3" s="376" t="s">
        <v>359</v>
      </c>
      <c r="B3" s="379">
        <v>322.8</v>
      </c>
      <c r="C3" s="376"/>
      <c r="D3" s="36" t="s">
        <v>900</v>
      </c>
      <c r="E3" s="378">
        <f>E2-E1</f>
        <v>-66.5099999999984</v>
      </c>
    </row>
    <row r="4" spans="1:5" x14ac:dyDescent="0.25">
      <c r="A4" s="381" t="s">
        <v>986</v>
      </c>
      <c r="B4" s="379">
        <v>400</v>
      </c>
      <c r="C4" s="381"/>
      <c r="D4" s="381"/>
      <c r="E4" s="381"/>
    </row>
    <row r="5" spans="1:5" x14ac:dyDescent="0.25">
      <c r="A5" s="381" t="s">
        <v>559</v>
      </c>
      <c r="B5" s="380">
        <v>17.2</v>
      </c>
      <c r="C5" s="381"/>
      <c r="D5" s="381"/>
      <c r="E5" s="381"/>
    </row>
    <row r="6" spans="1:5" x14ac:dyDescent="0.25">
      <c r="A6" s="381" t="s">
        <v>561</v>
      </c>
      <c r="B6" s="380">
        <v>3.1</v>
      </c>
      <c r="C6" s="381"/>
      <c r="D6" s="381"/>
      <c r="E6" s="381"/>
    </row>
    <row r="7" spans="1:2" x14ac:dyDescent="0.25">
      <c r="A7" s="381" t="s">
        <v>987</v>
      </c>
      <c r="B7" s="380">
        <v>3200</v>
      </c>
    </row>
    <row r="8" spans="1:2" x14ac:dyDescent="0.25">
      <c r="A8" s="381" t="s">
        <v>870</v>
      </c>
      <c r="B8" s="380">
        <v>40</v>
      </c>
    </row>
    <row r="9" spans="1:2" x14ac:dyDescent="0.25">
      <c r="A9" s="381" t="s">
        <v>573</v>
      </c>
      <c r="B9" s="380">
        <v>21.98</v>
      </c>
    </row>
    <row r="10" spans="1:2" x14ac:dyDescent="0.25">
      <c r="A10" s="381" t="s">
        <v>901</v>
      </c>
      <c r="B10" s="380">
        <v>15.21</v>
      </c>
    </row>
    <row r="11" spans="1:2" x14ac:dyDescent="0.25">
      <c r="A11" s="381" t="s">
        <v>909</v>
      </c>
      <c r="B11" s="123">
        <v>12</v>
      </c>
    </row>
    <row r="12" spans="1:2" x14ac:dyDescent="0.25">
      <c r="A12" s="381" t="s">
        <v>908</v>
      </c>
      <c r="B12" s="380">
        <v>1.5</v>
      </c>
    </row>
    <row r="13" spans="1:2" x14ac:dyDescent="0.25">
      <c r="A13" s="381" t="s">
        <v>42</v>
      </c>
      <c r="B13" s="123">
        <v>77.72</v>
      </c>
    </row>
    <row r="14" spans="2:2" x14ac:dyDescent="0.25">
      <c r="B14" s="123"/>
    </row>
    <row r="15" spans="2:2" x14ac:dyDescent="0.25">
      <c r="B15" s="123"/>
    </row>
    <row r="16" spans="2:2" x14ac:dyDescent="0.25">
      <c r="B16" s="123"/>
    </row>
    <row r="17" spans="2:2" x14ac:dyDescent="0.25">
      <c r="B17" s="123"/>
    </row>
    <row r="18" spans="2:2" x14ac:dyDescent="0.25">
      <c r="B18" s="123"/>
    </row>
    <row r="19" spans="2:2" x14ac:dyDescent="0.25">
      <c r="B19" s="123"/>
    </row>
    <row r="20" spans="2:2" x14ac:dyDescent="0.25">
      <c r="B20" s="123"/>
    </row>
    <row r="21" spans="2:2" x14ac:dyDescent="0.25">
      <c r="B21" s="123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zoomScale="100" zoomScaleNormal="100">
      <selection activeCell="B7" sqref="B7"/>
    </sheetView>
  </sheetViews>
  <sheetFormatPr defaultRowHeight="15" outlineLevelRow="0" outlineLevelCol="0" x14ac:dyDescent="0" defaultColWidth="8.83203125"/>
  <cols>
    <col min="1" max="1" width="14.5" customWidth="1"/>
    <col min="2" max="2" width="15.1640625" customWidth="1"/>
    <col min="4" max="4" width="16.33203125" customWidth="1"/>
    <col min="5" max="5" width="17.5" customWidth="1"/>
    <col min="6" max="6" width="16.6640625" customWidth="1"/>
  </cols>
  <sheetData>
    <row r="1" ht="16" customHeight="1" spans="1:5" x14ac:dyDescent="0.25">
      <c r="A1" s="36" t="s">
        <v>897</v>
      </c>
      <c r="B1" s="396" t="s">
        <v>548</v>
      </c>
      <c r="D1" s="36" t="s">
        <v>1033</v>
      </c>
      <c r="E1" s="399">
        <f>SUM(B:B)</f>
        <v>5477.2300000000005</v>
      </c>
    </row>
    <row r="2" ht="16" customHeight="1" spans="1:5" x14ac:dyDescent="0.25">
      <c r="A2" t="s">
        <v>1062</v>
      </c>
      <c r="B2" s="45">
        <v>5075</v>
      </c>
      <c r="D2" s="36" t="s">
        <v>1034</v>
      </c>
      <c r="E2" s="399"/>
    </row>
    <row r="3" spans="1:5" x14ac:dyDescent="0.25">
      <c r="A3" t="s">
        <v>899</v>
      </c>
      <c r="B3" s="405">
        <v>346.8</v>
      </c>
      <c r="D3" s="36"/>
      <c r="E3" s="399"/>
    </row>
    <row r="4" ht="16" customHeight="1" spans="1:5" x14ac:dyDescent="0.25">
      <c r="A4" t="s">
        <v>1063</v>
      </c>
      <c r="B4" s="90">
        <v>10.5</v>
      </c>
      <c r="D4" s="36" t="s">
        <v>1035</v>
      </c>
      <c r="E4" s="399"/>
    </row>
    <row r="5" spans="1:2" x14ac:dyDescent="0.25">
      <c r="A5" t="s">
        <v>991</v>
      </c>
      <c r="B5" s="90">
        <v>14.93</v>
      </c>
    </row>
    <row r="6" spans="1:2" x14ac:dyDescent="0.25">
      <c r="A6" t="s">
        <v>765</v>
      </c>
      <c r="B6" s="90">
        <v>20</v>
      </c>
    </row>
    <row r="7" spans="1:6" x14ac:dyDescent="0.25">
      <c r="A7" t="s">
        <v>765</v>
      </c>
      <c r="B7" s="90">
        <v>10</v>
      </c>
      <c r="F7" t="s">
        <v>1064</v>
      </c>
    </row>
    <row r="8" spans="2:2" x14ac:dyDescent="0.25">
      <c r="B8" s="90"/>
    </row>
    <row r="9" spans="2:2" x14ac:dyDescent="0.25">
      <c r="B9" s="90"/>
    </row>
    <row r="10" spans="2:2" x14ac:dyDescent="0.25">
      <c r="B10" s="90"/>
    </row>
    <row r="11" spans="2:2" x14ac:dyDescent="0.25">
      <c r="B11" s="90"/>
    </row>
    <row r="12" spans="2:2" x14ac:dyDescent="0.25">
      <c r="B12" s="90"/>
    </row>
    <row r="13" spans="2:2" x14ac:dyDescent="0.25">
      <c r="B13" s="90"/>
    </row>
    <row r="14" spans="2:2" x14ac:dyDescent="0.25">
      <c r="B14" s="90"/>
    </row>
    <row r="15" spans="2:2" x14ac:dyDescent="0.25">
      <c r="B15" s="90"/>
    </row>
    <row r="16" spans="2:2" x14ac:dyDescent="0.25">
      <c r="B16" s="90"/>
    </row>
    <row r="17" spans="2:2" x14ac:dyDescent="0.25">
      <c r="B17" s="90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 zoomScale="100" zoomScaleNormal="100">
      <selection activeCell="Q31" sqref="Q31"/>
    </sheetView>
  </sheetViews>
  <sheetFormatPr defaultRowHeight="15" outlineLevelRow="0" outlineLevelCol="0" x14ac:dyDescent="0" defaultColWidth="8.83203125"/>
  <cols>
    <col min="1" max="5" width="15.5" customWidth="1"/>
    <col min="7" max="7" width="30" customWidth="1"/>
  </cols>
  <sheetData>
    <row r="1" ht="16" customHeight="1" spans="1:5" x14ac:dyDescent="0.25">
      <c r="A1" s="36" t="s">
        <v>897</v>
      </c>
      <c r="B1" s="396" t="s">
        <v>548</v>
      </c>
      <c r="D1" s="36" t="s">
        <v>1033</v>
      </c>
      <c r="E1" s="399">
        <f>SUM(B:B)</f>
        <v>4390.79</v>
      </c>
    </row>
    <row r="2" ht="16" customHeight="1" spans="1:5" x14ac:dyDescent="0.25">
      <c r="A2" t="s">
        <v>341</v>
      </c>
      <c r="B2" s="45">
        <v>3500</v>
      </c>
      <c r="D2" s="36" t="s">
        <v>1034</v>
      </c>
      <c r="E2" s="123">
        <v>7250</v>
      </c>
    </row>
    <row r="3" ht="16" customHeight="1" spans="1:5" x14ac:dyDescent="0.25">
      <c r="A3" t="s">
        <v>573</v>
      </c>
      <c r="B3" s="90">
        <v>17.66</v>
      </c>
      <c r="D3" s="36" t="s">
        <v>1035</v>
      </c>
      <c r="E3" s="123">
        <f>E2-E1</f>
        <v>2859.21</v>
      </c>
    </row>
    <row r="4" spans="1:2" x14ac:dyDescent="0.25">
      <c r="A4" t="s">
        <v>983</v>
      </c>
      <c r="B4" s="90">
        <v>640</v>
      </c>
    </row>
    <row r="5" spans="1:7" x14ac:dyDescent="0.25">
      <c r="A5" t="s">
        <v>574</v>
      </c>
      <c r="B5" s="90">
        <v>40</v>
      </c>
      <c r="F5" t="s">
        <v>995</v>
      </c>
      <c r="G5" s="123">
        <v>70</v>
      </c>
    </row>
    <row r="6" spans="1:7" x14ac:dyDescent="0.25">
      <c r="A6" t="s">
        <v>765</v>
      </c>
      <c r="B6" s="90">
        <v>30</v>
      </c>
      <c r="F6" t="s">
        <v>864</v>
      </c>
      <c r="G6" s="90">
        <v>9.12</v>
      </c>
    </row>
    <row r="7" spans="1:7" x14ac:dyDescent="0.25">
      <c r="A7" t="s">
        <v>573</v>
      </c>
      <c r="B7" s="90">
        <v>17.12</v>
      </c>
      <c r="G7" s="123"/>
    </row>
    <row r="8" spans="1:7" x14ac:dyDescent="0.25">
      <c r="A8" t="s">
        <v>1065</v>
      </c>
      <c r="B8" s="90">
        <v>2.88</v>
      </c>
      <c r="G8" s="123">
        <f>G5-G6</f>
        <v>60.88</v>
      </c>
    </row>
    <row r="9" spans="1:2" x14ac:dyDescent="0.25">
      <c r="A9" t="s">
        <v>765</v>
      </c>
      <c r="B9" s="90">
        <v>8</v>
      </c>
    </row>
    <row r="10" spans="1:2" x14ac:dyDescent="0.25">
      <c r="A10" t="s">
        <v>973</v>
      </c>
      <c r="B10" s="90">
        <v>8</v>
      </c>
    </row>
    <row r="11" spans="1:2" x14ac:dyDescent="0.25">
      <c r="A11" t="s">
        <v>864</v>
      </c>
      <c r="B11" s="90">
        <v>9.41</v>
      </c>
    </row>
    <row r="12" spans="1:2" x14ac:dyDescent="0.25">
      <c r="A12" t="s">
        <v>870</v>
      </c>
      <c r="B12" s="90">
        <v>40</v>
      </c>
    </row>
    <row r="13" spans="1:2" x14ac:dyDescent="0.25">
      <c r="A13" t="s">
        <v>42</v>
      </c>
      <c r="B13" s="90">
        <v>77.72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0"/>
  <sheetViews>
    <sheetView workbookViewId="0" zoomScale="100" zoomScaleNormal="100">
      <selection activeCell="C20" sqref="C20"/>
    </sheetView>
  </sheetViews>
  <sheetFormatPr defaultRowHeight="15" outlineLevelRow="0" outlineLevelCol="0" x14ac:dyDescent="0" defaultColWidth="14.5"/>
  <cols>
    <col min="1" max="5" width="17" customWidth="1"/>
    <col min="6" max="6" width="14.5" customWidth="1"/>
  </cols>
  <sheetData>
    <row r="1" ht="16" customHeight="1" spans="1:5" x14ac:dyDescent="0.25">
      <c r="A1" s="36" t="s">
        <v>897</v>
      </c>
      <c r="B1" s="396" t="s">
        <v>548</v>
      </c>
      <c r="C1" s="36"/>
      <c r="D1" s="36" t="s">
        <v>28</v>
      </c>
      <c r="E1" s="378">
        <f>SUM(B:B)</f>
        <v>3556.6099999999997</v>
      </c>
    </row>
    <row r="2" ht="16" customHeight="1" spans="1:5" x14ac:dyDescent="0.25">
      <c r="A2" s="36" t="s">
        <v>964</v>
      </c>
      <c r="B2" s="396">
        <v>2250</v>
      </c>
      <c r="C2" s="36" t="s">
        <v>1066</v>
      </c>
      <c r="D2" s="36" t="s">
        <v>898</v>
      </c>
      <c r="E2" s="378">
        <v>3815</v>
      </c>
    </row>
    <row r="3" ht="16" customHeight="1" spans="1:5" x14ac:dyDescent="0.25">
      <c r="A3" s="36" t="s">
        <v>573</v>
      </c>
      <c r="B3" s="396">
        <v>80.23</v>
      </c>
      <c r="C3" s="36"/>
      <c r="D3" s="36" t="s">
        <v>900</v>
      </c>
      <c r="E3" s="378">
        <f>E2-E1</f>
        <v>258.3900000000003</v>
      </c>
    </row>
    <row r="4" ht="16" customHeight="1" spans="1:5" x14ac:dyDescent="0.25">
      <c r="A4" s="36" t="s">
        <v>1067</v>
      </c>
      <c r="B4" s="396">
        <f>15.49+8.53</f>
        <v>24.02</v>
      </c>
      <c r="C4" s="36"/>
      <c r="D4" s="36"/>
      <c r="E4" s="36"/>
    </row>
    <row r="5" ht="16" customHeight="1" spans="1:5" x14ac:dyDescent="0.25">
      <c r="A5" s="36" t="s">
        <v>1068</v>
      </c>
      <c r="B5" s="396">
        <v>350</v>
      </c>
      <c r="C5" s="36" t="s">
        <v>1066</v>
      </c>
      <c r="D5" s="36"/>
      <c r="E5" s="36"/>
    </row>
    <row r="6" ht="16" customHeight="1" spans="1:5" x14ac:dyDescent="0.25">
      <c r="A6" s="36" t="s">
        <v>1069</v>
      </c>
      <c r="B6" s="396">
        <v>14.99</v>
      </c>
      <c r="C6" s="36"/>
      <c r="D6" s="36"/>
      <c r="E6" s="36"/>
    </row>
    <row r="7" ht="16" customHeight="1" spans="1:5" x14ac:dyDescent="0.25">
      <c r="A7" s="36" t="s">
        <v>880</v>
      </c>
      <c r="B7" s="396">
        <v>400</v>
      </c>
      <c r="C7" s="36" t="s">
        <v>1066</v>
      </c>
      <c r="D7" s="36"/>
      <c r="E7" s="36"/>
    </row>
    <row r="8" ht="16" customHeight="1" spans="1:5" x14ac:dyDescent="0.25">
      <c r="A8" s="36" t="s">
        <v>601</v>
      </c>
      <c r="B8" s="396">
        <v>4.95</v>
      </c>
      <c r="C8" s="36"/>
      <c r="D8" s="36"/>
      <c r="E8" s="36"/>
    </row>
    <row r="9" ht="16" customHeight="1" spans="1:5" x14ac:dyDescent="0.25">
      <c r="A9" s="36" t="s">
        <v>1070</v>
      </c>
      <c r="B9" s="396">
        <v>180</v>
      </c>
      <c r="C9" s="36" t="s">
        <v>1066</v>
      </c>
      <c r="D9" s="36"/>
      <c r="E9" s="396">
        <f>SUM(B2,B5,B7,B9)+E3*0.4</f>
        <v>3283.356</v>
      </c>
    </row>
    <row r="10" ht="16" customHeight="1" spans="1:5" x14ac:dyDescent="0.25">
      <c r="A10" s="36" t="s">
        <v>656</v>
      </c>
      <c r="B10" s="396">
        <v>70.74</v>
      </c>
      <c r="C10" s="36"/>
      <c r="D10" s="36"/>
      <c r="E10" s="36"/>
    </row>
    <row r="11" ht="16" customHeight="1" spans="1:5" x14ac:dyDescent="0.25">
      <c r="A11" s="36" t="s">
        <v>1067</v>
      </c>
      <c r="B11" s="396">
        <v>15.07</v>
      </c>
      <c r="C11" s="36"/>
      <c r="D11" s="36"/>
      <c r="E11" s="36"/>
    </row>
    <row r="12" ht="16" customHeight="1" spans="1:5" x14ac:dyDescent="0.25">
      <c r="A12" s="36" t="s">
        <v>573</v>
      </c>
      <c r="B12" s="396">
        <v>17.12</v>
      </c>
      <c r="C12" s="36" t="s">
        <v>599</v>
      </c>
      <c r="D12" s="36"/>
      <c r="E12" s="36"/>
    </row>
    <row r="13" spans="1:5" x14ac:dyDescent="0.25">
      <c r="A13" s="376" t="s">
        <v>864</v>
      </c>
      <c r="B13" s="377">
        <v>4.96</v>
      </c>
      <c r="C13" s="376"/>
      <c r="D13" s="376"/>
      <c r="E13" s="376"/>
    </row>
    <row r="14" spans="1:5" x14ac:dyDescent="0.25">
      <c r="A14" s="376" t="s">
        <v>765</v>
      </c>
      <c r="B14" s="377">
        <v>10</v>
      </c>
      <c r="C14" s="376"/>
      <c r="D14" s="376"/>
      <c r="E14" s="376"/>
    </row>
    <row r="15" ht="15" customHeight="1" spans="1:2" x14ac:dyDescent="0.25">
      <c r="A15" s="36" t="s">
        <v>1071</v>
      </c>
      <c r="B15" s="396">
        <v>15.46</v>
      </c>
    </row>
    <row r="16" ht="15" customHeight="1" spans="1:2" x14ac:dyDescent="0.25">
      <c r="A16" s="36" t="s">
        <v>901</v>
      </c>
      <c r="B16" s="396">
        <v>5.07</v>
      </c>
    </row>
    <row r="17" ht="15" customHeight="1" spans="1:2" x14ac:dyDescent="0.25">
      <c r="A17" s="36" t="s">
        <v>1072</v>
      </c>
      <c r="B17" s="396">
        <v>40</v>
      </c>
    </row>
    <row r="18" ht="15" customHeight="1" spans="1:2" x14ac:dyDescent="0.25">
      <c r="A18" s="36" t="s">
        <v>1073</v>
      </c>
      <c r="B18" s="396">
        <v>50</v>
      </c>
    </row>
    <row r="19" ht="15" customHeight="1" spans="1:2" x14ac:dyDescent="0.25">
      <c r="A19" s="36" t="s">
        <v>864</v>
      </c>
      <c r="B19" s="396">
        <v>4</v>
      </c>
    </row>
    <row r="20" ht="15" customHeight="1" spans="1:2" x14ac:dyDescent="0.25">
      <c r="A20" s="36" t="s">
        <v>953</v>
      </c>
      <c r="B20" s="396">
        <v>20</v>
      </c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>
      <selection activeCell="B28" sqref="B28"/>
    </sheetView>
  </sheetViews>
  <sheetFormatPr defaultRowHeight="15" outlineLevelRow="0" outlineLevelCol="0" x14ac:dyDescent="0" defaultColWidth="14.5"/>
  <cols>
    <col min="1" max="5" width="17" customWidth="1"/>
    <col min="6" max="25" width="8.83203125" customWidth="1"/>
  </cols>
  <sheetData>
    <row r="1" ht="16" customHeight="1" spans="1:26" x14ac:dyDescent="0.25">
      <c r="A1" s="36" t="s">
        <v>897</v>
      </c>
      <c r="B1" s="396" t="s">
        <v>548</v>
      </c>
      <c r="C1" s="36"/>
      <c r="D1" s="36" t="s">
        <v>1033</v>
      </c>
      <c r="E1" s="396">
        <f>SUM(B:B)</f>
        <v>6737.99</v>
      </c>
      <c r="F1" s="376"/>
      <c r="G1" s="376"/>
      <c r="H1" s="376"/>
      <c r="I1" s="376"/>
      <c r="J1" s="376"/>
      <c r="K1" s="376"/>
      <c r="L1" s="376"/>
      <c r="M1" s="376"/>
      <c r="N1" s="376"/>
      <c r="O1" s="376"/>
      <c r="P1" s="376"/>
      <c r="Q1" s="376"/>
      <c r="R1" s="376"/>
      <c r="S1" s="376"/>
      <c r="T1" s="376"/>
      <c r="U1" s="376"/>
      <c r="V1" s="376"/>
      <c r="W1" s="376"/>
      <c r="X1" s="376"/>
      <c r="Y1" s="376"/>
      <c r="Z1" s="376"/>
    </row>
    <row r="2" ht="16" customHeight="1" spans="1:26" x14ac:dyDescent="0.25">
      <c r="A2" s="36" t="s">
        <v>964</v>
      </c>
      <c r="B2" s="406">
        <v>2000</v>
      </c>
      <c r="C2" s="36"/>
      <c r="D2" s="36" t="s">
        <v>1034</v>
      </c>
      <c r="E2" s="378">
        <v>9994</v>
      </c>
      <c r="F2" s="376"/>
      <c r="G2" s="376"/>
      <c r="H2" s="376"/>
      <c r="I2" s="376"/>
      <c r="J2" s="376"/>
      <c r="K2" s="376"/>
      <c r="L2" s="376"/>
      <c r="M2" s="376"/>
      <c r="N2" s="376"/>
      <c r="O2" s="376"/>
      <c r="P2" s="376"/>
      <c r="Q2" s="376"/>
      <c r="R2" s="376"/>
      <c r="S2" s="376"/>
      <c r="T2" s="376"/>
      <c r="U2" s="376"/>
      <c r="V2" s="376"/>
      <c r="W2" s="376"/>
      <c r="X2" s="376"/>
      <c r="Y2" s="376"/>
      <c r="Z2" s="376"/>
    </row>
    <row r="3" ht="16" customHeight="1" spans="1:26" x14ac:dyDescent="0.25">
      <c r="A3" s="36" t="s">
        <v>986</v>
      </c>
      <c r="B3" s="406">
        <v>220</v>
      </c>
      <c r="C3" s="36"/>
      <c r="D3" s="36" t="s">
        <v>1035</v>
      </c>
      <c r="E3" s="378">
        <f>E2-E1</f>
        <v>3256.01</v>
      </c>
      <c r="F3" s="376"/>
      <c r="G3" s="376"/>
      <c r="H3" s="376"/>
      <c r="I3" s="376"/>
      <c r="J3" s="376"/>
      <c r="K3" s="376"/>
      <c r="L3" s="376"/>
      <c r="M3" s="376"/>
      <c r="N3" s="376"/>
      <c r="O3" s="376"/>
      <c r="P3" s="376"/>
      <c r="Q3" s="376"/>
      <c r="R3" s="376"/>
      <c r="S3" s="376"/>
      <c r="T3" s="376"/>
      <c r="U3" s="376"/>
      <c r="V3" s="376"/>
      <c r="W3" s="376"/>
      <c r="X3" s="376"/>
      <c r="Y3" s="376"/>
      <c r="Z3" s="376"/>
    </row>
    <row r="4" ht="16" customHeight="1" spans="1:26" x14ac:dyDescent="0.25">
      <c r="A4" s="36" t="s">
        <v>1067</v>
      </c>
      <c r="B4" s="406">
        <v>30</v>
      </c>
      <c r="C4" s="36"/>
      <c r="D4" s="36"/>
      <c r="E4" s="36"/>
      <c r="F4" s="376"/>
      <c r="G4" s="376"/>
      <c r="H4" s="376"/>
      <c r="I4" s="376"/>
      <c r="J4" s="376"/>
      <c r="K4" s="376"/>
      <c r="L4" s="376"/>
      <c r="M4" s="376"/>
      <c r="N4" s="376"/>
      <c r="O4" s="376"/>
      <c r="P4" s="376"/>
      <c r="Q4" s="376"/>
      <c r="R4" s="376"/>
      <c r="S4" s="376"/>
      <c r="T4" s="376"/>
      <c r="U4" s="376"/>
      <c r="V4" s="376"/>
      <c r="W4" s="376"/>
      <c r="X4" s="376"/>
      <c r="Y4" s="376"/>
      <c r="Z4" s="376"/>
    </row>
    <row r="5" ht="16" customHeight="1" spans="1:26" x14ac:dyDescent="0.25">
      <c r="A5" s="36" t="s">
        <v>953</v>
      </c>
      <c r="B5" s="406">
        <v>40</v>
      </c>
      <c r="C5" s="36"/>
      <c r="D5" s="36"/>
      <c r="E5" s="36"/>
      <c r="F5" s="376"/>
      <c r="G5" s="376"/>
      <c r="H5" s="376"/>
      <c r="I5" s="376"/>
      <c r="J5" s="376"/>
      <c r="K5" s="376"/>
      <c r="L5" s="376"/>
      <c r="M5" s="376"/>
      <c r="N5" s="376"/>
      <c r="O5" s="376"/>
      <c r="P5" s="376"/>
      <c r="Q5" s="376"/>
      <c r="R5" s="376"/>
      <c r="S5" s="376"/>
      <c r="T5" s="376"/>
      <c r="U5" s="376"/>
      <c r="V5" s="376"/>
      <c r="W5" s="376"/>
      <c r="X5" s="376"/>
      <c r="Y5" s="376"/>
      <c r="Z5" s="376"/>
    </row>
    <row r="6" ht="16" customHeight="1" spans="1:26" x14ac:dyDescent="0.25">
      <c r="A6" s="36" t="s">
        <v>573</v>
      </c>
      <c r="B6" s="406">
        <v>23.59</v>
      </c>
      <c r="C6" s="36"/>
      <c r="D6" s="36"/>
      <c r="E6" s="36"/>
      <c r="F6" s="376"/>
      <c r="G6" s="376"/>
      <c r="H6" s="376"/>
      <c r="I6" s="376"/>
      <c r="J6" s="376"/>
      <c r="K6" s="376"/>
      <c r="L6" s="376"/>
      <c r="M6" s="376"/>
      <c r="N6" s="376"/>
      <c r="O6" s="376"/>
      <c r="P6" s="376"/>
      <c r="Q6" s="376"/>
      <c r="R6" s="376"/>
      <c r="S6" s="376"/>
      <c r="T6" s="376"/>
      <c r="U6" s="376"/>
      <c r="V6" s="376"/>
      <c r="W6" s="376"/>
      <c r="X6" s="376"/>
      <c r="Y6" s="376"/>
      <c r="Z6" s="376"/>
    </row>
    <row r="7" ht="16" customHeight="1" spans="1:26" x14ac:dyDescent="0.25">
      <c r="A7" s="36" t="s">
        <v>1074</v>
      </c>
      <c r="B7" s="406">
        <v>479.94</v>
      </c>
      <c r="C7" s="36"/>
      <c r="D7" s="36"/>
      <c r="E7" s="36"/>
      <c r="F7" s="376"/>
      <c r="G7" s="376"/>
      <c r="H7" s="376"/>
      <c r="I7" s="376"/>
      <c r="J7" s="376"/>
      <c r="K7" s="376"/>
      <c r="L7" s="376"/>
      <c r="M7" s="376"/>
      <c r="N7" s="376"/>
      <c r="O7" s="376"/>
      <c r="P7" s="376"/>
      <c r="Q7" s="376"/>
      <c r="R7" s="376"/>
      <c r="S7" s="376"/>
      <c r="T7" s="376"/>
      <c r="U7" s="376"/>
      <c r="V7" s="376"/>
      <c r="W7" s="376"/>
      <c r="X7" s="376"/>
      <c r="Y7" s="376"/>
      <c r="Z7" s="376"/>
    </row>
    <row r="8" ht="16" customHeight="1" spans="1:26" x14ac:dyDescent="0.25">
      <c r="A8" s="36" t="s">
        <v>1075</v>
      </c>
      <c r="B8" s="406">
        <v>45</v>
      </c>
      <c r="C8" s="36"/>
      <c r="D8" s="36"/>
      <c r="E8" s="36"/>
      <c r="F8" s="376"/>
      <c r="G8" s="376"/>
      <c r="H8" s="376"/>
      <c r="I8" s="376"/>
      <c r="J8" s="376"/>
      <c r="K8" s="376"/>
      <c r="L8" s="376"/>
      <c r="M8" s="376"/>
      <c r="N8" s="376"/>
      <c r="O8" s="376"/>
      <c r="P8" s="376"/>
      <c r="Q8" s="376"/>
      <c r="R8" s="376"/>
      <c r="S8" s="376"/>
      <c r="T8" s="376"/>
      <c r="U8" s="376"/>
      <c r="V8" s="376"/>
      <c r="W8" s="376"/>
      <c r="X8" s="376"/>
      <c r="Y8" s="376"/>
      <c r="Z8" s="376"/>
    </row>
    <row r="9" ht="16" customHeight="1" spans="1:26" x14ac:dyDescent="0.25">
      <c r="A9" s="36" t="s">
        <v>991</v>
      </c>
      <c r="B9" s="406">
        <v>30</v>
      </c>
      <c r="C9" s="36" t="s">
        <v>586</v>
      </c>
      <c r="D9" s="36"/>
      <c r="E9" s="3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  <c r="R9" s="376"/>
      <c r="S9" s="376"/>
      <c r="T9" s="376"/>
      <c r="U9" s="376"/>
      <c r="V9" s="376"/>
      <c r="W9" s="376"/>
      <c r="X9" s="376"/>
      <c r="Y9" s="376"/>
      <c r="Z9" s="376"/>
    </row>
    <row r="10" ht="16" customHeight="1" spans="1:26" x14ac:dyDescent="0.25">
      <c r="A10" s="36" t="s">
        <v>991</v>
      </c>
      <c r="B10" s="406">
        <v>21.97</v>
      </c>
      <c r="C10" s="36"/>
      <c r="D10" s="36"/>
      <c r="E10" s="36"/>
      <c r="F10" s="376"/>
      <c r="G10" s="376"/>
      <c r="H10" s="376"/>
      <c r="I10" s="376"/>
      <c r="J10" s="376"/>
      <c r="K10" s="376"/>
      <c r="L10" s="376"/>
      <c r="M10" s="376"/>
      <c r="N10" s="376"/>
      <c r="O10" s="376"/>
      <c r="P10" s="376"/>
      <c r="Q10" s="376"/>
      <c r="R10" s="376"/>
      <c r="S10" s="376"/>
      <c r="T10" s="376"/>
      <c r="U10" s="376"/>
      <c r="V10" s="376"/>
      <c r="W10" s="376"/>
      <c r="X10" s="376"/>
      <c r="Y10" s="376"/>
      <c r="Z10" s="376"/>
    </row>
    <row r="11" ht="16" customHeight="1" spans="1:26" x14ac:dyDescent="0.25">
      <c r="A11" s="407" t="s">
        <v>986</v>
      </c>
      <c r="B11" s="408">
        <v>150</v>
      </c>
      <c r="C11" s="376"/>
      <c r="D11" s="376"/>
      <c r="E11" s="376"/>
      <c r="F11" s="376"/>
      <c r="G11" s="376"/>
      <c r="H11" s="376"/>
      <c r="I11" s="376"/>
      <c r="J11" s="376"/>
      <c r="K11" s="376"/>
      <c r="L11" s="376"/>
      <c r="M11" s="376"/>
      <c r="N11" s="376"/>
      <c r="O11" s="376"/>
      <c r="P11" s="376"/>
      <c r="Q11" s="376"/>
      <c r="R11" s="376"/>
      <c r="S11" s="376"/>
      <c r="T11" s="376"/>
      <c r="U11" s="376"/>
      <c r="V11" s="376"/>
      <c r="W11" s="376"/>
      <c r="X11" s="376"/>
      <c r="Y11" s="376"/>
      <c r="Z11" s="376"/>
    </row>
    <row r="12" spans="1:26" x14ac:dyDescent="0.25">
      <c r="A12" s="376" t="s">
        <v>1076</v>
      </c>
      <c r="B12" s="377">
        <v>1700</v>
      </c>
      <c r="C12" s="376"/>
      <c r="D12" s="376"/>
      <c r="E12" s="376"/>
      <c r="F12" s="376"/>
      <c r="G12" s="376"/>
      <c r="H12" s="376"/>
      <c r="I12" s="376"/>
      <c r="J12" s="376"/>
      <c r="K12" s="376"/>
      <c r="L12" s="376"/>
      <c r="M12" s="376"/>
      <c r="N12" s="376"/>
      <c r="O12" s="376"/>
      <c r="P12" s="376"/>
      <c r="Q12" s="376"/>
      <c r="R12" s="376"/>
      <c r="S12" s="376"/>
      <c r="T12" s="376"/>
      <c r="U12" s="376"/>
      <c r="V12" s="376"/>
      <c r="W12" s="376"/>
      <c r="X12" s="376"/>
      <c r="Y12" s="376"/>
      <c r="Z12" s="376"/>
    </row>
    <row r="13" spans="1:26" x14ac:dyDescent="0.25">
      <c r="A13" s="376" t="s">
        <v>573</v>
      </c>
      <c r="B13" s="377">
        <v>26.31</v>
      </c>
      <c r="C13" s="376"/>
      <c r="D13" s="376"/>
      <c r="E13" s="376"/>
      <c r="F13" s="376"/>
      <c r="G13" s="376"/>
      <c r="H13" s="376"/>
      <c r="I13" s="376"/>
      <c r="J13" s="376"/>
      <c r="K13" s="376"/>
      <c r="L13" s="376"/>
      <c r="M13" s="376"/>
      <c r="N13" s="376"/>
      <c r="O13" s="376"/>
      <c r="P13" s="376"/>
      <c r="Q13" s="376"/>
      <c r="R13" s="376"/>
      <c r="S13" s="376"/>
      <c r="T13" s="376"/>
      <c r="U13" s="376"/>
      <c r="V13" s="376"/>
      <c r="W13" s="376"/>
      <c r="X13" s="376"/>
      <c r="Y13" s="376"/>
      <c r="Z13" s="376"/>
    </row>
    <row r="14" spans="1:26" x14ac:dyDescent="0.25">
      <c r="A14" s="376" t="s">
        <v>973</v>
      </c>
      <c r="B14" s="377">
        <v>20</v>
      </c>
      <c r="C14" s="376"/>
      <c r="D14" s="376"/>
      <c r="E14" s="376"/>
      <c r="F14" s="376"/>
      <c r="G14" s="376"/>
      <c r="H14" s="376"/>
      <c r="I14" s="376"/>
      <c r="J14" s="376"/>
      <c r="K14" s="376"/>
      <c r="L14" s="376"/>
      <c r="M14" s="376"/>
      <c r="N14" s="376"/>
      <c r="O14" s="376"/>
      <c r="P14" s="376"/>
      <c r="Q14" s="376"/>
      <c r="R14" s="376"/>
      <c r="S14" s="376"/>
      <c r="T14" s="376"/>
      <c r="U14" s="376"/>
      <c r="V14" s="376"/>
      <c r="W14" s="376"/>
      <c r="X14" s="376"/>
      <c r="Y14" s="376"/>
      <c r="Z14" s="376"/>
    </row>
    <row r="15" spans="1:26" x14ac:dyDescent="0.25">
      <c r="A15" s="381" t="s">
        <v>887</v>
      </c>
      <c r="B15" s="377">
        <v>800</v>
      </c>
      <c r="C15" s="376"/>
      <c r="D15" s="376"/>
      <c r="E15" s="376"/>
      <c r="F15" s="376"/>
      <c r="G15" s="376"/>
      <c r="H15" s="376"/>
      <c r="I15" s="376"/>
      <c r="J15" s="376"/>
      <c r="K15" s="376"/>
      <c r="L15" s="376"/>
      <c r="M15" s="376"/>
      <c r="N15" s="376"/>
      <c r="O15" s="376"/>
      <c r="P15" s="376"/>
      <c r="Q15" s="376"/>
      <c r="R15" s="376"/>
      <c r="S15" s="376"/>
      <c r="T15" s="376"/>
      <c r="U15" s="376"/>
      <c r="V15" s="376"/>
      <c r="W15" s="376"/>
      <c r="X15" s="376"/>
      <c r="Y15" s="376"/>
      <c r="Z15" s="376"/>
    </row>
    <row r="16" spans="1:26" x14ac:dyDescent="0.25">
      <c r="A16" s="376" t="s">
        <v>573</v>
      </c>
      <c r="B16" s="377">
        <v>24.79</v>
      </c>
      <c r="C16" s="376"/>
      <c r="D16" s="376"/>
      <c r="E16" s="376"/>
      <c r="F16" s="376"/>
      <c r="G16" s="376"/>
      <c r="H16" s="376"/>
      <c r="I16" s="376"/>
      <c r="J16" s="376"/>
      <c r="K16" s="376"/>
      <c r="L16" s="376"/>
      <c r="M16" s="376"/>
      <c r="N16" s="376"/>
      <c r="O16" s="376"/>
      <c r="P16" s="376"/>
      <c r="Q16" s="376"/>
      <c r="R16" s="376"/>
      <c r="S16" s="376"/>
      <c r="T16" s="376"/>
      <c r="U16" s="376"/>
      <c r="V16" s="376"/>
      <c r="W16" s="376"/>
      <c r="X16" s="376"/>
      <c r="Y16" s="376"/>
      <c r="Z16" s="376"/>
    </row>
    <row r="17" spans="1:26" x14ac:dyDescent="0.25">
      <c r="A17" s="376" t="s">
        <v>935</v>
      </c>
      <c r="B17" s="377">
        <v>260</v>
      </c>
      <c r="C17" s="376"/>
      <c r="D17" s="376"/>
      <c r="E17" s="376"/>
      <c r="F17" s="376"/>
      <c r="G17" s="376"/>
      <c r="H17" s="376"/>
      <c r="I17" s="376"/>
      <c r="J17" s="376"/>
      <c r="K17" s="376"/>
      <c r="L17" s="376"/>
      <c r="M17" s="376"/>
      <c r="N17" s="376"/>
      <c r="O17" s="376"/>
      <c r="P17" s="376"/>
      <c r="Q17" s="376"/>
      <c r="R17" s="376"/>
      <c r="S17" s="376"/>
      <c r="T17" s="376"/>
      <c r="U17" s="376"/>
      <c r="V17" s="376"/>
      <c r="W17" s="376"/>
      <c r="X17" s="376"/>
      <c r="Y17" s="376"/>
      <c r="Z17" s="376"/>
    </row>
    <row r="18" spans="1:26" x14ac:dyDescent="0.25">
      <c r="A18" s="376" t="s">
        <v>920</v>
      </c>
      <c r="B18" s="377">
        <v>500</v>
      </c>
      <c r="C18" s="376"/>
      <c r="D18" s="376"/>
      <c r="E18" s="376"/>
      <c r="F18" s="376"/>
      <c r="G18" s="376"/>
      <c r="H18" s="376"/>
      <c r="I18" s="376"/>
      <c r="J18" s="376"/>
      <c r="K18" s="376"/>
      <c r="L18" s="376"/>
      <c r="M18" s="376"/>
      <c r="N18" s="376"/>
      <c r="O18" s="376"/>
      <c r="P18" s="376"/>
      <c r="Q18" s="376"/>
      <c r="R18" s="376"/>
      <c r="S18" s="376"/>
      <c r="T18" s="376"/>
      <c r="U18" s="376"/>
      <c r="V18" s="376"/>
      <c r="W18" s="376"/>
      <c r="X18" s="376"/>
      <c r="Y18" s="376"/>
      <c r="Z18" s="376"/>
    </row>
    <row r="19" spans="1:26" x14ac:dyDescent="0.25">
      <c r="A19" s="376" t="s">
        <v>914</v>
      </c>
      <c r="B19" s="377">
        <v>47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6"/>
      <c r="M19" s="376"/>
      <c r="N19" s="376"/>
      <c r="O19" s="376"/>
      <c r="P19" s="376"/>
      <c r="Q19" s="376"/>
      <c r="R19" s="376"/>
      <c r="S19" s="376"/>
      <c r="T19" s="376"/>
      <c r="U19" s="376"/>
      <c r="V19" s="376"/>
      <c r="W19" s="376"/>
      <c r="X19" s="376"/>
      <c r="Y19" s="376"/>
      <c r="Z19" s="376"/>
    </row>
    <row r="20" spans="1:26" x14ac:dyDescent="0.25">
      <c r="A20" s="376" t="s">
        <v>870</v>
      </c>
      <c r="B20" s="377">
        <v>40</v>
      </c>
      <c r="C20" s="376"/>
      <c r="D20" s="376"/>
      <c r="E20" s="376"/>
      <c r="F20" s="376"/>
      <c r="G20" s="376"/>
      <c r="H20" s="376"/>
      <c r="I20" s="376"/>
      <c r="J20" s="376"/>
      <c r="K20" s="376"/>
      <c r="L20" s="376"/>
      <c r="M20" s="376"/>
      <c r="N20" s="376"/>
      <c r="O20" s="376"/>
      <c r="P20" s="376"/>
      <c r="Q20" s="376"/>
      <c r="R20" s="376"/>
      <c r="S20" s="376"/>
      <c r="T20" s="376"/>
      <c r="U20" s="376"/>
      <c r="V20" s="376"/>
      <c r="W20" s="376"/>
      <c r="X20" s="376"/>
      <c r="Y20" s="376"/>
      <c r="Z20" s="376"/>
    </row>
    <row r="21" ht="15.75" customHeight="1" spans="1:26" x14ac:dyDescent="0.25">
      <c r="A21" s="376" t="s">
        <v>973</v>
      </c>
      <c r="B21" s="377">
        <v>50</v>
      </c>
      <c r="C21" s="376"/>
      <c r="D21" s="376"/>
      <c r="E21" s="376"/>
      <c r="F21" s="376"/>
      <c r="G21" s="376"/>
      <c r="H21" s="376"/>
      <c r="I21" s="376"/>
      <c r="J21" s="376"/>
      <c r="K21" s="376"/>
      <c r="L21" s="376"/>
      <c r="M21" s="376"/>
      <c r="N21" s="376"/>
      <c r="O21" s="376"/>
      <c r="P21" s="376"/>
      <c r="Q21" s="376"/>
      <c r="R21" s="376"/>
      <c r="S21" s="376"/>
      <c r="T21" s="376"/>
      <c r="U21" s="376"/>
      <c r="V21" s="376"/>
      <c r="W21" s="376"/>
      <c r="X21" s="376"/>
      <c r="Y21" s="376"/>
      <c r="Z21" s="376"/>
    </row>
    <row r="22" ht="15.75" customHeight="1" spans="1:26" x14ac:dyDescent="0.25">
      <c r="A22" s="376" t="s">
        <v>1077</v>
      </c>
      <c r="B22" s="377">
        <v>63.54</v>
      </c>
      <c r="C22" s="376"/>
      <c r="D22" s="376"/>
      <c r="E22" s="376"/>
      <c r="F22" s="376"/>
      <c r="G22" s="376"/>
      <c r="H22" s="376"/>
      <c r="I22" s="376"/>
      <c r="J22" s="376"/>
      <c r="K22" s="376"/>
      <c r="L22" s="376"/>
      <c r="M22" s="376"/>
      <c r="N22" s="376"/>
      <c r="O22" s="376"/>
      <c r="P22" s="376"/>
      <c r="Q22" s="376"/>
      <c r="R22" s="376"/>
      <c r="S22" s="376"/>
      <c r="T22" s="376"/>
      <c r="U22" s="376"/>
      <c r="V22" s="376"/>
      <c r="W22" s="376"/>
      <c r="X22" s="376"/>
      <c r="Y22" s="376"/>
      <c r="Z22" s="376"/>
    </row>
    <row r="23" ht="15.75" customHeight="1" spans="1:26" x14ac:dyDescent="0.25">
      <c r="A23" s="376" t="s">
        <v>973</v>
      </c>
      <c r="B23" s="377">
        <v>25</v>
      </c>
      <c r="C23" s="376"/>
      <c r="D23" s="376"/>
      <c r="E23" s="376"/>
      <c r="F23" s="376"/>
      <c r="G23" s="376"/>
      <c r="H23" s="376"/>
      <c r="I23" s="376"/>
      <c r="J23" s="376"/>
      <c r="K23" s="376"/>
      <c r="L23" s="376"/>
      <c r="M23" s="376"/>
      <c r="N23" s="376"/>
      <c r="O23" s="376"/>
      <c r="P23" s="376"/>
      <c r="Q23" s="376"/>
      <c r="R23" s="376"/>
      <c r="S23" s="376"/>
      <c r="T23" s="376"/>
      <c r="U23" s="376"/>
      <c r="V23" s="376"/>
      <c r="W23" s="376"/>
      <c r="X23" s="376"/>
      <c r="Y23" s="376"/>
      <c r="Z23" s="376"/>
    </row>
    <row r="24" ht="15.75" customHeight="1" spans="1:26" x14ac:dyDescent="0.25">
      <c r="A24" s="376" t="s">
        <v>914</v>
      </c>
      <c r="B24" s="377">
        <v>8.41</v>
      </c>
      <c r="C24" s="376"/>
      <c r="D24" s="376"/>
      <c r="E24" s="376"/>
      <c r="F24" s="376"/>
      <c r="G24" s="376"/>
      <c r="H24" s="376"/>
      <c r="I24" s="376"/>
      <c r="J24" s="376"/>
      <c r="K24" s="376"/>
      <c r="L24" s="376"/>
      <c r="M24" s="376"/>
      <c r="N24" s="376"/>
      <c r="O24" s="376"/>
      <c r="P24" s="376"/>
      <c r="Q24" s="376"/>
      <c r="R24" s="376"/>
      <c r="S24" s="376"/>
      <c r="T24" s="376"/>
      <c r="U24" s="376"/>
      <c r="V24" s="376"/>
      <c r="W24" s="376"/>
      <c r="X24" s="376"/>
      <c r="Y24" s="376"/>
      <c r="Z24" s="376"/>
    </row>
    <row r="25" ht="15.75" customHeight="1" spans="1:26" x14ac:dyDescent="0.25">
      <c r="A25" s="376" t="s">
        <v>42</v>
      </c>
      <c r="B25" s="377">
        <v>107.94</v>
      </c>
      <c r="C25" s="376"/>
      <c r="D25" s="376"/>
      <c r="E25" s="376"/>
      <c r="F25" s="376"/>
      <c r="G25" s="376"/>
      <c r="H25" s="376"/>
      <c r="I25" s="376"/>
      <c r="J25" s="376"/>
      <c r="K25" s="376"/>
      <c r="L25" s="376"/>
      <c r="M25" s="376"/>
      <c r="N25" s="376"/>
      <c r="O25" s="376"/>
      <c r="P25" s="376"/>
      <c r="Q25" s="376"/>
      <c r="R25" s="376"/>
      <c r="S25" s="376"/>
      <c r="T25" s="376"/>
      <c r="U25" s="376"/>
      <c r="V25" s="376"/>
      <c r="W25" s="376"/>
      <c r="X25" s="376"/>
      <c r="Y25" s="376"/>
      <c r="Z25" s="376"/>
    </row>
    <row r="26" ht="15.75" customHeight="1" spans="1:26" x14ac:dyDescent="0.25">
      <c r="A26" s="376" t="s">
        <v>765</v>
      </c>
      <c r="B26" s="377">
        <v>12</v>
      </c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  <c r="R26" s="376"/>
      <c r="S26" s="376"/>
      <c r="T26" s="376"/>
      <c r="U26" s="376"/>
      <c r="V26" s="376"/>
      <c r="W26" s="376"/>
      <c r="X26" s="376"/>
      <c r="Y26" s="376"/>
      <c r="Z26" s="376"/>
    </row>
    <row r="27" ht="15.75" customHeight="1" spans="1:26" x14ac:dyDescent="0.25">
      <c r="A27" s="376" t="s">
        <v>931</v>
      </c>
      <c r="B27" s="377">
        <v>12.5</v>
      </c>
      <c r="C27" s="376"/>
      <c r="D27" s="376"/>
      <c r="E27" s="376"/>
      <c r="F27" s="376"/>
      <c r="G27" s="376"/>
      <c r="H27" s="376"/>
      <c r="I27" s="376"/>
      <c r="J27" s="376"/>
      <c r="K27" s="376"/>
      <c r="L27" s="376"/>
      <c r="M27" s="376"/>
      <c r="N27" s="376"/>
      <c r="O27" s="376"/>
      <c r="P27" s="376"/>
      <c r="Q27" s="376"/>
      <c r="R27" s="376"/>
      <c r="S27" s="376"/>
      <c r="T27" s="376"/>
      <c r="U27" s="376"/>
      <c r="V27" s="376"/>
      <c r="W27" s="376"/>
      <c r="X27" s="376"/>
      <c r="Y27" s="376"/>
      <c r="Z27" s="376"/>
    </row>
    <row r="28" ht="15.75" customHeight="1" spans="1:26" x14ac:dyDescent="0.25">
      <c r="A28" s="376"/>
      <c r="B28" s="377"/>
      <c r="C28" s="376"/>
      <c r="D28" s="376"/>
      <c r="E28" s="376"/>
      <c r="F28" s="376"/>
      <c r="G28" s="376"/>
      <c r="H28" s="376"/>
      <c r="I28" s="376"/>
      <c r="J28" s="376"/>
      <c r="K28" s="376"/>
      <c r="L28" s="376"/>
      <c r="M28" s="376"/>
      <c r="N28" s="376"/>
      <c r="O28" s="376"/>
      <c r="P28" s="376"/>
      <c r="Q28" s="376"/>
      <c r="R28" s="376"/>
      <c r="S28" s="376"/>
      <c r="T28" s="376"/>
      <c r="U28" s="376"/>
      <c r="V28" s="376"/>
      <c r="W28" s="376"/>
      <c r="X28" s="376"/>
      <c r="Y28" s="376"/>
      <c r="Z28" s="376"/>
    </row>
    <row r="29" ht="15.75" customHeight="1" spans="1:26" x14ac:dyDescent="0.25">
      <c r="A29" s="376"/>
      <c r="B29" s="377"/>
      <c r="C29" s="376"/>
      <c r="D29" s="376"/>
      <c r="E29" s="376"/>
      <c r="F29" s="376"/>
      <c r="G29" s="376"/>
      <c r="H29" s="376"/>
      <c r="I29" s="376"/>
      <c r="J29" s="376"/>
      <c r="K29" s="376"/>
      <c r="L29" s="376"/>
      <c r="M29" s="376"/>
      <c r="N29" s="376"/>
      <c r="O29" s="376"/>
      <c r="P29" s="376"/>
      <c r="Q29" s="376"/>
      <c r="R29" s="376"/>
      <c r="S29" s="376"/>
      <c r="T29" s="376"/>
      <c r="U29" s="376"/>
      <c r="V29" s="376"/>
      <c r="W29" s="376"/>
      <c r="X29" s="376"/>
      <c r="Y29" s="376"/>
      <c r="Z29" s="376"/>
    </row>
    <row r="30" ht="15.75" customHeight="1" spans="1:26" x14ac:dyDescent="0.25">
      <c r="A30" s="376"/>
      <c r="B30" s="377"/>
      <c r="C30" s="376"/>
      <c r="D30" s="376"/>
      <c r="E30" s="376"/>
      <c r="F30" s="376"/>
      <c r="G30" s="376"/>
      <c r="H30" s="376"/>
      <c r="I30" s="376"/>
      <c r="J30" s="376"/>
      <c r="K30" s="376"/>
      <c r="L30" s="376"/>
      <c r="M30" s="376"/>
      <c r="N30" s="376"/>
      <c r="O30" s="376"/>
      <c r="P30" s="376"/>
      <c r="Q30" s="376"/>
      <c r="R30" s="376"/>
      <c r="S30" s="376"/>
      <c r="T30" s="376"/>
      <c r="U30" s="376"/>
      <c r="V30" s="376"/>
      <c r="W30" s="376"/>
      <c r="X30" s="376"/>
      <c r="Y30" s="376"/>
      <c r="Z30" s="376"/>
    </row>
    <row r="31" ht="15.75" customHeight="1" spans="1:26" x14ac:dyDescent="0.25">
      <c r="A31" s="376"/>
      <c r="B31" s="377"/>
      <c r="C31" s="376"/>
      <c r="D31" s="376"/>
      <c r="E31" s="376"/>
      <c r="F31" s="376"/>
      <c r="G31" s="376"/>
      <c r="H31" s="376"/>
      <c r="I31" s="376"/>
      <c r="J31" s="376"/>
      <c r="K31" s="376"/>
      <c r="L31" s="376"/>
      <c r="M31" s="376"/>
      <c r="N31" s="376"/>
      <c r="O31" s="376"/>
      <c r="P31" s="376"/>
      <c r="Q31" s="376"/>
      <c r="R31" s="376"/>
      <c r="S31" s="376"/>
      <c r="T31" s="376"/>
      <c r="U31" s="376"/>
      <c r="V31" s="376"/>
      <c r="W31" s="376"/>
      <c r="X31" s="376"/>
      <c r="Y31" s="376"/>
      <c r="Z31" s="376"/>
    </row>
    <row r="32" ht="15.75" customHeight="1" spans="1:26" x14ac:dyDescent="0.25">
      <c r="A32" s="376"/>
      <c r="B32" s="377"/>
      <c r="C32" s="376"/>
      <c r="D32" s="376"/>
      <c r="E32" s="376"/>
      <c r="F32" s="376"/>
      <c r="G32" s="376"/>
      <c r="H32" s="376"/>
      <c r="I32" s="376"/>
      <c r="J32" s="376"/>
      <c r="K32" s="376"/>
      <c r="L32" s="376"/>
      <c r="M32" s="376"/>
      <c r="N32" s="376"/>
      <c r="O32" s="376"/>
      <c r="P32" s="376"/>
      <c r="Q32" s="376"/>
      <c r="R32" s="376"/>
      <c r="S32" s="376"/>
      <c r="T32" s="376"/>
      <c r="U32" s="376"/>
      <c r="V32" s="376"/>
      <c r="W32" s="376"/>
      <c r="X32" s="376"/>
      <c r="Y32" s="376"/>
      <c r="Z32" s="376"/>
    </row>
    <row r="33" ht="15.75" customHeight="1" spans="1:26" x14ac:dyDescent="0.25">
      <c r="A33" s="376"/>
      <c r="B33" s="377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  <c r="S33" s="376"/>
      <c r="T33" s="376"/>
      <c r="U33" s="376"/>
      <c r="V33" s="376"/>
      <c r="W33" s="376"/>
      <c r="X33" s="376"/>
      <c r="Y33" s="376"/>
      <c r="Z33" s="376"/>
    </row>
    <row r="34" ht="15.75" customHeight="1" spans="1:26" x14ac:dyDescent="0.25">
      <c r="A34" s="376"/>
      <c r="B34" s="377"/>
      <c r="C34" s="376"/>
      <c r="D34" s="376"/>
      <c r="E34" s="376"/>
      <c r="F34" s="376"/>
      <c r="G34" s="376"/>
      <c r="H34" s="376"/>
      <c r="I34" s="376"/>
      <c r="J34" s="376"/>
      <c r="K34" s="376"/>
      <c r="L34" s="376"/>
      <c r="M34" s="376"/>
      <c r="N34" s="376"/>
      <c r="O34" s="376"/>
      <c r="P34" s="376"/>
      <c r="Q34" s="376"/>
      <c r="R34" s="376"/>
      <c r="S34" s="376"/>
      <c r="T34" s="376"/>
      <c r="U34" s="376"/>
      <c r="V34" s="376"/>
      <c r="W34" s="376"/>
      <c r="X34" s="376"/>
      <c r="Y34" s="376"/>
      <c r="Z34" s="376"/>
    </row>
    <row r="35" ht="15.75" customHeight="1" spans="1:26" x14ac:dyDescent="0.25">
      <c r="A35" s="376"/>
      <c r="B35" s="377"/>
      <c r="C35" s="376"/>
      <c r="D35" s="376"/>
      <c r="E35" s="376"/>
      <c r="F35" s="376"/>
      <c r="G35" s="376"/>
      <c r="H35" s="376"/>
      <c r="I35" s="376"/>
      <c r="J35" s="376"/>
      <c r="K35" s="376"/>
      <c r="L35" s="376"/>
      <c r="M35" s="376"/>
      <c r="N35" s="376"/>
      <c r="O35" s="376"/>
      <c r="P35" s="376"/>
      <c r="Q35" s="376"/>
      <c r="R35" s="376"/>
      <c r="S35" s="376"/>
      <c r="T35" s="376"/>
      <c r="U35" s="376"/>
      <c r="V35" s="376"/>
      <c r="W35" s="376"/>
      <c r="X35" s="376"/>
      <c r="Y35" s="376"/>
      <c r="Z35" s="376"/>
    </row>
    <row r="36" ht="15.75" customHeight="1" spans="1:26" x14ac:dyDescent="0.25">
      <c r="A36" s="376"/>
      <c r="B36" s="377"/>
      <c r="C36" s="376"/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6"/>
      <c r="P36" s="376"/>
      <c r="Q36" s="376"/>
      <c r="R36" s="376"/>
      <c r="S36" s="376"/>
      <c r="T36" s="376"/>
      <c r="U36" s="376"/>
      <c r="V36" s="376"/>
      <c r="W36" s="376"/>
      <c r="X36" s="376"/>
      <c r="Y36" s="376"/>
      <c r="Z36" s="376"/>
    </row>
    <row r="37" ht="15.75" customHeight="1" spans="1:26" x14ac:dyDescent="0.25">
      <c r="A37" s="376"/>
      <c r="B37" s="377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</row>
    <row r="38" ht="15.75" customHeight="1" spans="1:26" x14ac:dyDescent="0.25">
      <c r="A38" s="376"/>
      <c r="B38" s="377"/>
      <c r="C38" s="376"/>
      <c r="D38" s="376"/>
      <c r="E38" s="376"/>
      <c r="F38" s="376"/>
      <c r="G38" s="376"/>
      <c r="H38" s="376"/>
      <c r="I38" s="376"/>
      <c r="J38" s="376"/>
      <c r="K38" s="376"/>
      <c r="L38" s="376"/>
      <c r="M38" s="376"/>
      <c r="N38" s="376"/>
      <c r="O38" s="376"/>
      <c r="P38" s="376"/>
      <c r="Q38" s="376"/>
      <c r="R38" s="376"/>
      <c r="S38" s="376"/>
      <c r="T38" s="376"/>
      <c r="U38" s="376"/>
      <c r="V38" s="376"/>
      <c r="W38" s="376"/>
      <c r="X38" s="376"/>
      <c r="Y38" s="376"/>
      <c r="Z38" s="376"/>
    </row>
    <row r="39" ht="15.75" customHeight="1" spans="1:26" x14ac:dyDescent="0.25">
      <c r="A39" s="376"/>
      <c r="B39" s="377"/>
      <c r="C39" s="376"/>
      <c r="D39" s="376"/>
      <c r="E39" s="376"/>
      <c r="F39" s="376"/>
      <c r="G39" s="376"/>
      <c r="H39" s="376"/>
      <c r="I39" s="376"/>
      <c r="J39" s="376"/>
      <c r="K39" s="376"/>
      <c r="L39" s="376"/>
      <c r="M39" s="376"/>
      <c r="N39" s="376"/>
      <c r="O39" s="376"/>
      <c r="P39" s="376"/>
      <c r="Q39" s="376"/>
      <c r="R39" s="376"/>
      <c r="S39" s="376"/>
      <c r="T39" s="376"/>
      <c r="U39" s="376"/>
      <c r="V39" s="376"/>
      <c r="W39" s="376"/>
      <c r="X39" s="376"/>
      <c r="Y39" s="376"/>
      <c r="Z39" s="376"/>
    </row>
    <row r="40" ht="15.75" customHeight="1" spans="1:26" x14ac:dyDescent="0.25">
      <c r="A40" s="376"/>
      <c r="B40" s="377"/>
      <c r="C40" s="376"/>
      <c r="D40" s="376"/>
      <c r="E40" s="376"/>
      <c r="F40" s="376"/>
      <c r="G40" s="376"/>
      <c r="H40" s="376"/>
      <c r="I40" s="376"/>
      <c r="J40" s="376"/>
      <c r="K40" s="376"/>
      <c r="L40" s="376"/>
      <c r="M40" s="376"/>
      <c r="N40" s="376"/>
      <c r="O40" s="376"/>
      <c r="P40" s="376"/>
      <c r="Q40" s="376"/>
      <c r="R40" s="376"/>
      <c r="S40" s="376"/>
      <c r="T40" s="376"/>
      <c r="U40" s="376"/>
      <c r="V40" s="376"/>
      <c r="W40" s="376"/>
      <c r="X40" s="376"/>
      <c r="Y40" s="376"/>
      <c r="Z40" s="376"/>
    </row>
    <row r="41" ht="15.75" customHeight="1" spans="1:26" x14ac:dyDescent="0.25">
      <c r="A41" s="376"/>
      <c r="B41" s="377"/>
      <c r="C41" s="376"/>
      <c r="D41" s="376"/>
      <c r="E41" s="376"/>
      <c r="F41" s="376"/>
      <c r="G41" s="376"/>
      <c r="H41" s="376"/>
      <c r="I41" s="376"/>
      <c r="J41" s="376"/>
      <c r="K41" s="376"/>
      <c r="L41" s="376"/>
      <c r="M41" s="376"/>
      <c r="N41" s="376"/>
      <c r="O41" s="376"/>
      <c r="P41" s="376"/>
      <c r="Q41" s="376"/>
      <c r="R41" s="376"/>
      <c r="S41" s="376"/>
      <c r="T41" s="376"/>
      <c r="U41" s="376"/>
      <c r="V41" s="376"/>
      <c r="W41" s="376"/>
      <c r="X41" s="376"/>
      <c r="Y41" s="376"/>
      <c r="Z41" s="376"/>
    </row>
    <row r="42" ht="15.75" customHeight="1" spans="1:26" x14ac:dyDescent="0.25">
      <c r="A42" s="376"/>
      <c r="B42" s="377"/>
      <c r="C42" s="376"/>
      <c r="D42" s="376"/>
      <c r="E42" s="376"/>
      <c r="F42" s="376"/>
      <c r="G42" s="376"/>
      <c r="H42" s="376"/>
      <c r="I42" s="376"/>
      <c r="J42" s="376"/>
      <c r="K42" s="376"/>
      <c r="L42" s="376"/>
      <c r="M42" s="376"/>
      <c r="N42" s="376"/>
      <c r="O42" s="376"/>
      <c r="P42" s="376"/>
      <c r="Q42" s="376"/>
      <c r="R42" s="376"/>
      <c r="S42" s="376"/>
      <c r="T42" s="376"/>
      <c r="U42" s="376"/>
      <c r="V42" s="376"/>
      <c r="W42" s="376"/>
      <c r="X42" s="376"/>
      <c r="Y42" s="376"/>
      <c r="Z42" s="376"/>
    </row>
    <row r="43" ht="15.75" customHeight="1" spans="1:26" x14ac:dyDescent="0.25">
      <c r="A43" s="376"/>
      <c r="B43" s="377"/>
      <c r="C43" s="376"/>
      <c r="D43" s="376"/>
      <c r="E43" s="376"/>
      <c r="F43" s="376"/>
      <c r="G43" s="376"/>
      <c r="H43" s="376"/>
      <c r="I43" s="376"/>
      <c r="J43" s="376"/>
      <c r="K43" s="376"/>
      <c r="L43" s="376"/>
      <c r="M43" s="376"/>
      <c r="N43" s="376"/>
      <c r="O43" s="376"/>
      <c r="P43" s="376"/>
      <c r="Q43" s="376"/>
      <c r="R43" s="376"/>
      <c r="S43" s="376"/>
      <c r="T43" s="376"/>
      <c r="U43" s="376"/>
      <c r="V43" s="376"/>
      <c r="W43" s="376"/>
      <c r="X43" s="376"/>
      <c r="Y43" s="376"/>
      <c r="Z43" s="376"/>
    </row>
    <row r="44" ht="15.75" customHeight="1" spans="1:26" x14ac:dyDescent="0.25">
      <c r="A44" s="376"/>
      <c r="B44" s="377"/>
      <c r="C44" s="376"/>
      <c r="D44" s="376"/>
      <c r="E44" s="376"/>
      <c r="F44" s="376"/>
      <c r="G44" s="376"/>
      <c r="H44" s="376"/>
      <c r="I44" s="376"/>
      <c r="J44" s="376"/>
      <c r="K44" s="376"/>
      <c r="L44" s="376"/>
      <c r="M44" s="376"/>
      <c r="N44" s="376"/>
      <c r="O44" s="376"/>
      <c r="P44" s="376"/>
      <c r="Q44" s="376"/>
      <c r="R44" s="376"/>
      <c r="S44" s="376"/>
      <c r="T44" s="376"/>
      <c r="U44" s="376"/>
      <c r="V44" s="376"/>
      <c r="W44" s="376"/>
      <c r="X44" s="376"/>
      <c r="Y44" s="376"/>
      <c r="Z44" s="376"/>
    </row>
    <row r="45" ht="15.75" customHeight="1" spans="1:26" x14ac:dyDescent="0.25">
      <c r="A45" s="376"/>
      <c r="B45" s="377"/>
      <c r="C45" s="376"/>
      <c r="D45" s="376"/>
      <c r="E45" s="376"/>
      <c r="F45" s="376"/>
      <c r="G45" s="376"/>
      <c r="H45" s="376"/>
      <c r="I45" s="376"/>
      <c r="J45" s="376"/>
      <c r="K45" s="376"/>
      <c r="L45" s="376"/>
      <c r="M45" s="376"/>
      <c r="N45" s="376"/>
      <c r="O45" s="376"/>
      <c r="P45" s="376"/>
      <c r="Q45" s="376"/>
      <c r="R45" s="376"/>
      <c r="S45" s="376"/>
      <c r="T45" s="376"/>
      <c r="U45" s="376"/>
      <c r="V45" s="376"/>
      <c r="W45" s="376"/>
      <c r="X45" s="376"/>
      <c r="Y45" s="376"/>
      <c r="Z45" s="376"/>
    </row>
    <row r="46" ht="15.75" customHeight="1" spans="1:26" x14ac:dyDescent="0.25">
      <c r="A46" s="376"/>
      <c r="B46" s="377"/>
      <c r="C46" s="376"/>
      <c r="D46" s="376"/>
      <c r="E46" s="376"/>
      <c r="F46" s="376"/>
      <c r="G46" s="376"/>
      <c r="H46" s="376"/>
      <c r="I46" s="376"/>
      <c r="J46" s="376"/>
      <c r="K46" s="376"/>
      <c r="L46" s="376"/>
      <c r="M46" s="376"/>
      <c r="N46" s="376"/>
      <c r="O46" s="376"/>
      <c r="P46" s="376"/>
      <c r="Q46" s="376"/>
      <c r="R46" s="376"/>
      <c r="S46" s="376"/>
      <c r="T46" s="376"/>
      <c r="U46" s="376"/>
      <c r="V46" s="376"/>
      <c r="W46" s="376"/>
      <c r="X46" s="376"/>
      <c r="Y46" s="376"/>
      <c r="Z46" s="376"/>
    </row>
    <row r="47" ht="15.75" customHeight="1" spans="1:26" x14ac:dyDescent="0.25">
      <c r="A47" s="376"/>
      <c r="B47" s="377"/>
      <c r="C47" s="376"/>
      <c r="D47" s="376"/>
      <c r="E47" s="376"/>
      <c r="F47" s="376"/>
      <c r="G47" s="376"/>
      <c r="H47" s="376"/>
      <c r="I47" s="376"/>
      <c r="J47" s="376"/>
      <c r="K47" s="376"/>
      <c r="L47" s="376"/>
      <c r="M47" s="376"/>
      <c r="N47" s="376"/>
      <c r="O47" s="376"/>
      <c r="P47" s="376"/>
      <c r="Q47" s="376"/>
      <c r="R47" s="376"/>
      <c r="S47" s="376"/>
      <c r="T47" s="376"/>
      <c r="U47" s="376"/>
      <c r="V47" s="376"/>
      <c r="W47" s="376"/>
      <c r="X47" s="376"/>
      <c r="Y47" s="376"/>
      <c r="Z47" s="376"/>
    </row>
    <row r="48" ht="15.75" customHeight="1" spans="1:26" x14ac:dyDescent="0.25">
      <c r="A48" s="376"/>
      <c r="B48" s="377"/>
      <c r="C48" s="376"/>
      <c r="D48" s="376"/>
      <c r="E48" s="376"/>
      <c r="F48" s="376"/>
      <c r="G48" s="376"/>
      <c r="H48" s="376"/>
      <c r="I48" s="376"/>
      <c r="J48" s="376"/>
      <c r="K48" s="376"/>
      <c r="L48" s="376"/>
      <c r="M48" s="376"/>
      <c r="N48" s="376"/>
      <c r="O48" s="376"/>
      <c r="P48" s="376"/>
      <c r="Q48" s="376"/>
      <c r="R48" s="376"/>
      <c r="S48" s="376"/>
      <c r="T48" s="376"/>
      <c r="U48" s="376"/>
      <c r="V48" s="376"/>
      <c r="W48" s="376"/>
      <c r="X48" s="376"/>
      <c r="Y48" s="376"/>
      <c r="Z48" s="376"/>
    </row>
    <row r="49" ht="15.75" customHeight="1" spans="1:26" x14ac:dyDescent="0.25">
      <c r="A49" s="376"/>
      <c r="B49" s="377"/>
      <c r="C49" s="376"/>
      <c r="D49" s="376"/>
      <c r="E49" s="376"/>
      <c r="F49" s="376"/>
      <c r="G49" s="376"/>
      <c r="H49" s="376"/>
      <c r="I49" s="376"/>
      <c r="J49" s="376"/>
      <c r="K49" s="376"/>
      <c r="L49" s="376"/>
      <c r="M49" s="376"/>
      <c r="N49" s="376"/>
      <c r="O49" s="376"/>
      <c r="P49" s="376"/>
      <c r="Q49" s="376"/>
      <c r="R49" s="376"/>
      <c r="S49" s="376"/>
      <c r="T49" s="376"/>
      <c r="U49" s="376"/>
      <c r="V49" s="376"/>
      <c r="W49" s="376"/>
      <c r="X49" s="376"/>
      <c r="Y49" s="376"/>
      <c r="Z49" s="376"/>
    </row>
    <row r="50" ht="15.75" customHeight="1" spans="1:26" x14ac:dyDescent="0.25">
      <c r="A50" s="376"/>
      <c r="B50" s="377"/>
      <c r="C50" s="376"/>
      <c r="D50" s="376"/>
      <c r="E50" s="376"/>
      <c r="F50" s="376"/>
      <c r="G50" s="376"/>
      <c r="H50" s="376"/>
      <c r="I50" s="376"/>
      <c r="J50" s="376"/>
      <c r="K50" s="376"/>
      <c r="L50" s="376"/>
      <c r="M50" s="376"/>
      <c r="N50" s="376"/>
      <c r="O50" s="376"/>
      <c r="P50" s="376"/>
      <c r="Q50" s="376"/>
      <c r="R50" s="376"/>
      <c r="S50" s="376"/>
      <c r="T50" s="376"/>
      <c r="U50" s="376"/>
      <c r="V50" s="376"/>
      <c r="W50" s="376"/>
      <c r="X50" s="376"/>
      <c r="Y50" s="376"/>
      <c r="Z50" s="376"/>
    </row>
    <row r="51" ht="15.75" customHeight="1" spans="1:26" x14ac:dyDescent="0.25">
      <c r="A51" s="376"/>
      <c r="B51" s="377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</row>
    <row r="52" ht="15.75" customHeight="1" spans="1:26" x14ac:dyDescent="0.25">
      <c r="A52" s="376"/>
      <c r="B52" s="377"/>
      <c r="C52" s="376"/>
      <c r="D52" s="376"/>
      <c r="E52" s="376"/>
      <c r="F52" s="376"/>
      <c r="G52" s="376"/>
      <c r="H52" s="376"/>
      <c r="I52" s="376"/>
      <c r="J52" s="376"/>
      <c r="K52" s="376"/>
      <c r="L52" s="376"/>
      <c r="M52" s="376"/>
      <c r="N52" s="376"/>
      <c r="O52" s="376"/>
      <c r="P52" s="376"/>
      <c r="Q52" s="376"/>
      <c r="R52" s="376"/>
      <c r="S52" s="376"/>
      <c r="T52" s="376"/>
      <c r="U52" s="376"/>
      <c r="V52" s="376"/>
      <c r="W52" s="376"/>
      <c r="X52" s="376"/>
      <c r="Y52" s="376"/>
      <c r="Z52" s="376"/>
    </row>
    <row r="53" ht="15.75" customHeight="1" spans="1:26" x14ac:dyDescent="0.25">
      <c r="A53" s="376"/>
      <c r="B53" s="377"/>
      <c r="C53" s="376"/>
      <c r="D53" s="376"/>
      <c r="E53" s="376"/>
      <c r="F53" s="376"/>
      <c r="G53" s="376"/>
      <c r="H53" s="376"/>
      <c r="I53" s="376"/>
      <c r="J53" s="376"/>
      <c r="K53" s="376"/>
      <c r="L53" s="376"/>
      <c r="M53" s="376"/>
      <c r="N53" s="376"/>
      <c r="O53" s="376"/>
      <c r="P53" s="376"/>
      <c r="Q53" s="376"/>
      <c r="R53" s="376"/>
      <c r="S53" s="376"/>
      <c r="T53" s="376"/>
      <c r="U53" s="376"/>
      <c r="V53" s="376"/>
      <c r="W53" s="376"/>
      <c r="X53" s="376"/>
      <c r="Y53" s="376"/>
      <c r="Z53" s="376"/>
    </row>
    <row r="54" ht="15.75" customHeight="1" spans="1:26" x14ac:dyDescent="0.25">
      <c r="A54" s="376"/>
      <c r="B54" s="377"/>
      <c r="C54" s="376"/>
      <c r="D54" s="376"/>
      <c r="E54" s="376"/>
      <c r="F54" s="376"/>
      <c r="G54" s="376"/>
      <c r="H54" s="376"/>
      <c r="I54" s="376"/>
      <c r="J54" s="376"/>
      <c r="K54" s="376"/>
      <c r="L54" s="376"/>
      <c r="M54" s="376"/>
      <c r="N54" s="376"/>
      <c r="O54" s="376"/>
      <c r="P54" s="376"/>
      <c r="Q54" s="376"/>
      <c r="R54" s="376"/>
      <c r="S54" s="376"/>
      <c r="T54" s="376"/>
      <c r="U54" s="376"/>
      <c r="V54" s="376"/>
      <c r="W54" s="376"/>
      <c r="X54" s="376"/>
      <c r="Y54" s="376"/>
      <c r="Z54" s="376"/>
    </row>
    <row r="55" ht="15.75" customHeight="1" spans="1:26" x14ac:dyDescent="0.25">
      <c r="A55" s="376"/>
      <c r="B55" s="377"/>
      <c r="C55" s="376"/>
      <c r="D55" s="376"/>
      <c r="E55" s="376"/>
      <c r="F55" s="376"/>
      <c r="G55" s="376"/>
      <c r="H55" s="376"/>
      <c r="I55" s="376"/>
      <c r="J55" s="376"/>
      <c r="K55" s="376"/>
      <c r="L55" s="376"/>
      <c r="M55" s="376"/>
      <c r="N55" s="376"/>
      <c r="O55" s="376"/>
      <c r="P55" s="376"/>
      <c r="Q55" s="376"/>
      <c r="R55" s="376"/>
      <c r="S55" s="376"/>
      <c r="T55" s="376"/>
      <c r="U55" s="376"/>
      <c r="V55" s="376"/>
      <c r="W55" s="376"/>
      <c r="X55" s="376"/>
      <c r="Y55" s="376"/>
      <c r="Z55" s="376"/>
    </row>
    <row r="56" ht="15.75" customHeight="1" spans="1:26" x14ac:dyDescent="0.25">
      <c r="A56" s="376"/>
      <c r="B56" s="377"/>
      <c r="C56" s="376"/>
      <c r="D56" s="376"/>
      <c r="E56" s="376"/>
      <c r="F56" s="376"/>
      <c r="G56" s="376"/>
      <c r="H56" s="376"/>
      <c r="I56" s="376"/>
      <c r="J56" s="376"/>
      <c r="K56" s="376"/>
      <c r="L56" s="376"/>
      <c r="M56" s="376"/>
      <c r="N56" s="376"/>
      <c r="O56" s="376"/>
      <c r="P56" s="376"/>
      <c r="Q56" s="376"/>
      <c r="R56" s="376"/>
      <c r="S56" s="376"/>
      <c r="T56" s="376"/>
      <c r="U56" s="376"/>
      <c r="V56" s="376"/>
      <c r="W56" s="376"/>
      <c r="X56" s="376"/>
      <c r="Y56" s="376"/>
      <c r="Z56" s="376"/>
    </row>
    <row r="57" ht="15.75" customHeight="1" spans="1:26" x14ac:dyDescent="0.25">
      <c r="A57" s="376"/>
      <c r="B57" s="377"/>
      <c r="C57" s="376"/>
      <c r="D57" s="376"/>
      <c r="E57" s="376"/>
      <c r="F57" s="376"/>
      <c r="G57" s="376"/>
      <c r="H57" s="376"/>
      <c r="I57" s="376"/>
      <c r="J57" s="376"/>
      <c r="K57" s="376"/>
      <c r="L57" s="376"/>
      <c r="M57" s="376"/>
      <c r="N57" s="376"/>
      <c r="O57" s="376"/>
      <c r="P57" s="376"/>
      <c r="Q57" s="376"/>
      <c r="R57" s="376"/>
      <c r="S57" s="376"/>
      <c r="T57" s="376"/>
      <c r="U57" s="376"/>
      <c r="V57" s="376"/>
      <c r="W57" s="376"/>
      <c r="X57" s="376"/>
      <c r="Y57" s="376"/>
      <c r="Z57" s="376"/>
    </row>
    <row r="58" ht="15.75" customHeight="1" spans="1:26" x14ac:dyDescent="0.25">
      <c r="A58" s="376"/>
      <c r="B58" s="377"/>
      <c r="C58" s="376"/>
      <c r="D58" s="376"/>
      <c r="E58" s="376"/>
      <c r="F58" s="376"/>
      <c r="G58" s="376"/>
      <c r="H58" s="376"/>
      <c r="I58" s="376"/>
      <c r="J58" s="376"/>
      <c r="K58" s="376"/>
      <c r="L58" s="376"/>
      <c r="M58" s="376"/>
      <c r="N58" s="376"/>
      <c r="O58" s="376"/>
      <c r="P58" s="376"/>
      <c r="Q58" s="376"/>
      <c r="R58" s="376"/>
      <c r="S58" s="376"/>
      <c r="T58" s="376"/>
      <c r="U58" s="376"/>
      <c r="V58" s="376"/>
      <c r="W58" s="376"/>
      <c r="X58" s="376"/>
      <c r="Y58" s="376"/>
      <c r="Z58" s="376"/>
    </row>
    <row r="59" ht="15.75" customHeight="1" spans="1:26" x14ac:dyDescent="0.25">
      <c r="A59" s="376"/>
      <c r="B59" s="377"/>
      <c r="C59" s="376"/>
      <c r="D59" s="376"/>
      <c r="E59" s="376"/>
      <c r="F59" s="376"/>
      <c r="G59" s="376"/>
      <c r="H59" s="376"/>
      <c r="I59" s="376"/>
      <c r="J59" s="376"/>
      <c r="K59" s="376"/>
      <c r="L59" s="376"/>
      <c r="M59" s="376"/>
      <c r="N59" s="376"/>
      <c r="O59" s="376"/>
      <c r="P59" s="376"/>
      <c r="Q59" s="376"/>
      <c r="R59" s="376"/>
      <c r="S59" s="376"/>
      <c r="T59" s="376"/>
      <c r="U59" s="376"/>
      <c r="V59" s="376"/>
      <c r="W59" s="376"/>
      <c r="X59" s="376"/>
      <c r="Y59" s="376"/>
      <c r="Z59" s="376"/>
    </row>
    <row r="60" ht="15.75" customHeight="1" spans="1:26" x14ac:dyDescent="0.25">
      <c r="A60" s="376"/>
      <c r="B60" s="377"/>
      <c r="C60" s="376"/>
      <c r="D60" s="376"/>
      <c r="E60" s="376"/>
      <c r="F60" s="376"/>
      <c r="G60" s="376"/>
      <c r="H60" s="376"/>
      <c r="I60" s="376"/>
      <c r="J60" s="376"/>
      <c r="K60" s="376"/>
      <c r="L60" s="376"/>
      <c r="M60" s="376"/>
      <c r="N60" s="376"/>
      <c r="O60" s="376"/>
      <c r="P60" s="376"/>
      <c r="Q60" s="376"/>
      <c r="R60" s="376"/>
      <c r="S60" s="376"/>
      <c r="T60" s="376"/>
      <c r="U60" s="376"/>
      <c r="V60" s="376"/>
      <c r="W60" s="376"/>
      <c r="X60" s="376"/>
      <c r="Y60" s="376"/>
      <c r="Z60" s="376"/>
    </row>
    <row r="61" ht="15.75" customHeight="1" spans="1:26" x14ac:dyDescent="0.25">
      <c r="A61" s="376"/>
      <c r="B61" s="377"/>
      <c r="C61" s="376"/>
      <c r="D61" s="376"/>
      <c r="E61" s="376"/>
      <c r="F61" s="376"/>
      <c r="G61" s="376"/>
      <c r="H61" s="376"/>
      <c r="I61" s="376"/>
      <c r="J61" s="376"/>
      <c r="K61" s="376"/>
      <c r="L61" s="376"/>
      <c r="M61" s="376"/>
      <c r="N61" s="376"/>
      <c r="O61" s="376"/>
      <c r="P61" s="376"/>
      <c r="Q61" s="376"/>
      <c r="R61" s="376"/>
      <c r="S61" s="376"/>
      <c r="T61" s="376"/>
      <c r="U61" s="376"/>
      <c r="V61" s="376"/>
      <c r="W61" s="376"/>
      <c r="X61" s="376"/>
      <c r="Y61" s="376"/>
      <c r="Z61" s="376"/>
    </row>
    <row r="62" ht="15.75" customHeight="1" spans="1:26" x14ac:dyDescent="0.25">
      <c r="A62" s="376"/>
      <c r="B62" s="377"/>
      <c r="C62" s="376"/>
      <c r="D62" s="376"/>
      <c r="E62" s="376"/>
      <c r="F62" s="376"/>
      <c r="G62" s="376"/>
      <c r="H62" s="376"/>
      <c r="I62" s="376"/>
      <c r="J62" s="376"/>
      <c r="K62" s="376"/>
      <c r="L62" s="376"/>
      <c r="M62" s="376"/>
      <c r="N62" s="376"/>
      <c r="O62" s="376"/>
      <c r="P62" s="376"/>
      <c r="Q62" s="376"/>
      <c r="R62" s="376"/>
      <c r="S62" s="376"/>
      <c r="T62" s="376"/>
      <c r="U62" s="376"/>
      <c r="V62" s="376"/>
      <c r="W62" s="376"/>
      <c r="X62" s="376"/>
      <c r="Y62" s="376"/>
      <c r="Z62" s="376"/>
    </row>
    <row r="63" ht="15.75" customHeight="1" spans="1:26" x14ac:dyDescent="0.25">
      <c r="A63" s="376"/>
      <c r="B63" s="377"/>
      <c r="C63" s="376"/>
      <c r="D63" s="376"/>
      <c r="E63" s="376"/>
      <c r="F63" s="376"/>
      <c r="G63" s="376"/>
      <c r="H63" s="376"/>
      <c r="I63" s="376"/>
      <c r="J63" s="376"/>
      <c r="K63" s="376"/>
      <c r="L63" s="376"/>
      <c r="M63" s="376"/>
      <c r="N63" s="376"/>
      <c r="O63" s="376"/>
      <c r="P63" s="376"/>
      <c r="Q63" s="376"/>
      <c r="R63" s="376"/>
      <c r="S63" s="376"/>
      <c r="T63" s="376"/>
      <c r="U63" s="376"/>
      <c r="V63" s="376"/>
      <c r="W63" s="376"/>
      <c r="X63" s="376"/>
      <c r="Y63" s="376"/>
      <c r="Z63" s="376"/>
    </row>
    <row r="64" ht="15.75" customHeight="1" spans="1:26" x14ac:dyDescent="0.25">
      <c r="A64" s="376"/>
      <c r="B64" s="377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6"/>
      <c r="Q64" s="376"/>
      <c r="R64" s="376"/>
      <c r="S64" s="376"/>
      <c r="T64" s="376"/>
      <c r="U64" s="376"/>
      <c r="V64" s="376"/>
      <c r="W64" s="376"/>
      <c r="X64" s="376"/>
      <c r="Y64" s="376"/>
      <c r="Z64" s="376"/>
    </row>
    <row r="65" ht="15.75" customHeight="1" spans="1:26" x14ac:dyDescent="0.25">
      <c r="A65" s="376"/>
      <c r="B65" s="377"/>
      <c r="C65" s="376"/>
      <c r="D65" s="376"/>
      <c r="E65" s="376"/>
      <c r="F65" s="376"/>
      <c r="G65" s="376"/>
      <c r="H65" s="376"/>
      <c r="I65" s="376"/>
      <c r="J65" s="376"/>
      <c r="K65" s="376"/>
      <c r="L65" s="376"/>
      <c r="M65" s="376"/>
      <c r="N65" s="376"/>
      <c r="O65" s="376"/>
      <c r="P65" s="376"/>
      <c r="Q65" s="376"/>
      <c r="R65" s="376"/>
      <c r="S65" s="376"/>
      <c r="T65" s="376"/>
      <c r="U65" s="376"/>
      <c r="V65" s="376"/>
      <c r="W65" s="376"/>
      <c r="X65" s="376"/>
      <c r="Y65" s="376"/>
      <c r="Z65" s="376"/>
    </row>
    <row r="66" ht="15.75" customHeight="1" spans="1:26" x14ac:dyDescent="0.25">
      <c r="A66" s="376"/>
      <c r="B66" s="377"/>
      <c r="C66" s="376"/>
      <c r="D66" s="376"/>
      <c r="E66" s="376"/>
      <c r="F66" s="376"/>
      <c r="G66" s="376"/>
      <c r="H66" s="376"/>
      <c r="I66" s="376"/>
      <c r="J66" s="376"/>
      <c r="K66" s="376"/>
      <c r="L66" s="376"/>
      <c r="M66" s="376"/>
      <c r="N66" s="376"/>
      <c r="O66" s="376"/>
      <c r="P66" s="376"/>
      <c r="Q66" s="376"/>
      <c r="R66" s="376"/>
      <c r="S66" s="376"/>
      <c r="T66" s="376"/>
      <c r="U66" s="376"/>
      <c r="V66" s="376"/>
      <c r="W66" s="376"/>
      <c r="X66" s="376"/>
      <c r="Y66" s="376"/>
      <c r="Z66" s="376"/>
    </row>
    <row r="67" ht="15.75" customHeight="1" spans="1:26" x14ac:dyDescent="0.25">
      <c r="A67" s="376"/>
      <c r="B67" s="377"/>
      <c r="C67" s="376"/>
      <c r="D67" s="376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6"/>
      <c r="P67" s="376"/>
      <c r="Q67" s="376"/>
      <c r="R67" s="376"/>
      <c r="S67" s="376"/>
      <c r="T67" s="376"/>
      <c r="U67" s="376"/>
      <c r="V67" s="376"/>
      <c r="W67" s="376"/>
      <c r="X67" s="376"/>
      <c r="Y67" s="376"/>
      <c r="Z67" s="376"/>
    </row>
    <row r="68" ht="15.75" customHeight="1" spans="1:26" x14ac:dyDescent="0.25">
      <c r="A68" s="376"/>
      <c r="B68" s="377"/>
      <c r="C68" s="376"/>
      <c r="D68" s="376"/>
      <c r="E68" s="376"/>
      <c r="F68" s="376"/>
      <c r="G68" s="376"/>
      <c r="H68" s="376"/>
      <c r="I68" s="376"/>
      <c r="J68" s="376"/>
      <c r="K68" s="376"/>
      <c r="L68" s="376"/>
      <c r="M68" s="376"/>
      <c r="N68" s="376"/>
      <c r="O68" s="376"/>
      <c r="P68" s="376"/>
      <c r="Q68" s="376"/>
      <c r="R68" s="376"/>
      <c r="S68" s="376"/>
      <c r="T68" s="376"/>
      <c r="U68" s="376"/>
      <c r="V68" s="376"/>
      <c r="W68" s="376"/>
      <c r="X68" s="376"/>
      <c r="Y68" s="376"/>
      <c r="Z68" s="376"/>
    </row>
    <row r="69" ht="15.75" customHeight="1" spans="1:26" x14ac:dyDescent="0.25">
      <c r="A69" s="376"/>
      <c r="B69" s="377"/>
      <c r="C69" s="376"/>
      <c r="D69" s="376"/>
      <c r="E69" s="376"/>
      <c r="F69" s="376"/>
      <c r="G69" s="376"/>
      <c r="H69" s="376"/>
      <c r="I69" s="376"/>
      <c r="J69" s="376"/>
      <c r="K69" s="376"/>
      <c r="L69" s="376"/>
      <c r="M69" s="376"/>
      <c r="N69" s="376"/>
      <c r="O69" s="376"/>
      <c r="P69" s="376"/>
      <c r="Q69" s="376"/>
      <c r="R69" s="376"/>
      <c r="S69" s="376"/>
      <c r="T69" s="376"/>
      <c r="U69" s="376"/>
      <c r="V69" s="376"/>
      <c r="W69" s="376"/>
      <c r="X69" s="376"/>
      <c r="Y69" s="376"/>
      <c r="Z69" s="376"/>
    </row>
    <row r="70" ht="15.75" customHeight="1" spans="1:26" x14ac:dyDescent="0.25">
      <c r="A70" s="376"/>
      <c r="B70" s="377"/>
      <c r="C70" s="376"/>
      <c r="D70" s="376"/>
      <c r="E70" s="376"/>
      <c r="F70" s="376"/>
      <c r="G70" s="376"/>
      <c r="H70" s="376"/>
      <c r="I70" s="376"/>
      <c r="J70" s="376"/>
      <c r="K70" s="376"/>
      <c r="L70" s="376"/>
      <c r="M70" s="376"/>
      <c r="N70" s="376"/>
      <c r="O70" s="376"/>
      <c r="P70" s="376"/>
      <c r="Q70" s="376"/>
      <c r="R70" s="376"/>
      <c r="S70" s="376"/>
      <c r="T70" s="376"/>
      <c r="U70" s="376"/>
      <c r="V70" s="376"/>
      <c r="W70" s="376"/>
      <c r="X70" s="376"/>
      <c r="Y70" s="376"/>
      <c r="Z70" s="376"/>
    </row>
    <row r="71" ht="15.75" customHeight="1" spans="1:26" x14ac:dyDescent="0.25">
      <c r="A71" s="376"/>
      <c r="B71" s="377"/>
      <c r="C71" s="376"/>
      <c r="D71" s="376"/>
      <c r="E71" s="376"/>
      <c r="F71" s="376"/>
      <c r="G71" s="376"/>
      <c r="H71" s="376"/>
      <c r="I71" s="376"/>
      <c r="J71" s="376"/>
      <c r="K71" s="376"/>
      <c r="L71" s="376"/>
      <c r="M71" s="376"/>
      <c r="N71" s="376"/>
      <c r="O71" s="376"/>
      <c r="P71" s="376"/>
      <c r="Q71" s="376"/>
      <c r="R71" s="376"/>
      <c r="S71" s="376"/>
      <c r="T71" s="376"/>
      <c r="U71" s="376"/>
      <c r="V71" s="376"/>
      <c r="W71" s="376"/>
      <c r="X71" s="376"/>
      <c r="Y71" s="376"/>
      <c r="Z71" s="376"/>
    </row>
    <row r="72" ht="15.75" customHeight="1" spans="1:26" x14ac:dyDescent="0.25">
      <c r="A72" s="376"/>
      <c r="B72" s="377"/>
      <c r="C72" s="376"/>
      <c r="D72" s="376"/>
      <c r="E72" s="376"/>
      <c r="F72" s="376"/>
      <c r="G72" s="376"/>
      <c r="H72" s="376"/>
      <c r="I72" s="376"/>
      <c r="J72" s="376"/>
      <c r="K72" s="376"/>
      <c r="L72" s="376"/>
      <c r="M72" s="376"/>
      <c r="N72" s="376"/>
      <c r="O72" s="376"/>
      <c r="P72" s="376"/>
      <c r="Q72" s="376"/>
      <c r="R72" s="376"/>
      <c r="S72" s="376"/>
      <c r="T72" s="376"/>
      <c r="U72" s="376"/>
      <c r="V72" s="376"/>
      <c r="W72" s="376"/>
      <c r="X72" s="376"/>
      <c r="Y72" s="376"/>
      <c r="Z72" s="376"/>
    </row>
    <row r="73" ht="15.75" customHeight="1" spans="1:26" x14ac:dyDescent="0.25">
      <c r="A73" s="376"/>
      <c r="B73" s="377"/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6"/>
      <c r="P73" s="376"/>
      <c r="Q73" s="376"/>
      <c r="R73" s="376"/>
      <c r="S73" s="376"/>
      <c r="T73" s="376"/>
      <c r="U73" s="376"/>
      <c r="V73" s="376"/>
      <c r="W73" s="376"/>
      <c r="X73" s="376"/>
      <c r="Y73" s="376"/>
      <c r="Z73" s="376"/>
    </row>
    <row r="74" ht="15.75" customHeight="1" spans="1:26" x14ac:dyDescent="0.25">
      <c r="A74" s="376"/>
      <c r="B74" s="377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  <c r="N74" s="376"/>
      <c r="O74" s="376"/>
      <c r="P74" s="376"/>
      <c r="Q74" s="376"/>
      <c r="R74" s="376"/>
      <c r="S74" s="376"/>
      <c r="T74" s="376"/>
      <c r="U74" s="376"/>
      <c r="V74" s="376"/>
      <c r="W74" s="376"/>
      <c r="X74" s="376"/>
      <c r="Y74" s="376"/>
      <c r="Z74" s="376"/>
    </row>
    <row r="75" ht="15.75" customHeight="1" spans="1:26" x14ac:dyDescent="0.25">
      <c r="A75" s="376"/>
      <c r="B75" s="377"/>
      <c r="C75" s="376"/>
      <c r="D75" s="376"/>
      <c r="E75" s="376"/>
      <c r="F75" s="376"/>
      <c r="G75" s="376"/>
      <c r="H75" s="376"/>
      <c r="I75" s="376"/>
      <c r="J75" s="376"/>
      <c r="K75" s="376"/>
      <c r="L75" s="376"/>
      <c r="M75" s="376"/>
      <c r="N75" s="376"/>
      <c r="O75" s="376"/>
      <c r="P75" s="376"/>
      <c r="Q75" s="376"/>
      <c r="R75" s="376"/>
      <c r="S75" s="376"/>
      <c r="T75" s="376"/>
      <c r="U75" s="376"/>
      <c r="V75" s="376"/>
      <c r="W75" s="376"/>
      <c r="X75" s="376"/>
      <c r="Y75" s="376"/>
      <c r="Z75" s="376"/>
    </row>
    <row r="76" ht="15.75" customHeight="1" spans="1:26" x14ac:dyDescent="0.25">
      <c r="A76" s="376"/>
      <c r="B76" s="377"/>
      <c r="C76" s="376"/>
      <c r="D76" s="376"/>
      <c r="E76" s="376"/>
      <c r="F76" s="376"/>
      <c r="G76" s="376"/>
      <c r="H76" s="376"/>
      <c r="I76" s="376"/>
      <c r="J76" s="376"/>
      <c r="K76" s="376"/>
      <c r="L76" s="376"/>
      <c r="M76" s="376"/>
      <c r="N76" s="376"/>
      <c r="O76" s="376"/>
      <c r="P76" s="376"/>
      <c r="Q76" s="376"/>
      <c r="R76" s="376"/>
      <c r="S76" s="376"/>
      <c r="T76" s="376"/>
      <c r="U76" s="376"/>
      <c r="V76" s="376"/>
      <c r="W76" s="376"/>
      <c r="X76" s="376"/>
      <c r="Y76" s="376"/>
      <c r="Z76" s="376"/>
    </row>
    <row r="77" ht="15.75" customHeight="1" spans="1:26" x14ac:dyDescent="0.25">
      <c r="A77" s="376"/>
      <c r="B77" s="377"/>
      <c r="C77" s="376"/>
      <c r="D77" s="376"/>
      <c r="E77" s="376"/>
      <c r="F77" s="376"/>
      <c r="G77" s="376"/>
      <c r="H77" s="376"/>
      <c r="I77" s="376"/>
      <c r="J77" s="376"/>
      <c r="K77" s="376"/>
      <c r="L77" s="376"/>
      <c r="M77" s="376"/>
      <c r="N77" s="376"/>
      <c r="O77" s="376"/>
      <c r="P77" s="376"/>
      <c r="Q77" s="376"/>
      <c r="R77" s="376"/>
      <c r="S77" s="376"/>
      <c r="T77" s="376"/>
      <c r="U77" s="376"/>
      <c r="V77" s="376"/>
      <c r="W77" s="376"/>
      <c r="X77" s="376"/>
      <c r="Y77" s="376"/>
      <c r="Z77" s="376"/>
    </row>
    <row r="78" ht="15.75" customHeight="1" spans="1:26" x14ac:dyDescent="0.25">
      <c r="A78" s="376"/>
      <c r="B78" s="377"/>
      <c r="C78" s="376"/>
      <c r="D78" s="376"/>
      <c r="E78" s="376"/>
      <c r="F78" s="376"/>
      <c r="G78" s="376"/>
      <c r="H78" s="376"/>
      <c r="I78" s="376"/>
      <c r="J78" s="376"/>
      <c r="K78" s="376"/>
      <c r="L78" s="376"/>
      <c r="M78" s="376"/>
      <c r="N78" s="376"/>
      <c r="O78" s="376"/>
      <c r="P78" s="376"/>
      <c r="Q78" s="376"/>
      <c r="R78" s="376"/>
      <c r="S78" s="376"/>
      <c r="T78" s="376"/>
      <c r="U78" s="376"/>
      <c r="V78" s="376"/>
      <c r="W78" s="376"/>
      <c r="X78" s="376"/>
      <c r="Y78" s="376"/>
      <c r="Z78" s="376"/>
    </row>
    <row r="79" ht="15.75" customHeight="1" spans="1:26" x14ac:dyDescent="0.25">
      <c r="A79" s="376"/>
      <c r="B79" s="377"/>
      <c r="C79" s="376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6"/>
      <c r="P79" s="376"/>
      <c r="Q79" s="376"/>
      <c r="R79" s="376"/>
      <c r="S79" s="376"/>
      <c r="T79" s="376"/>
      <c r="U79" s="376"/>
      <c r="V79" s="376"/>
      <c r="W79" s="376"/>
      <c r="X79" s="376"/>
      <c r="Y79" s="376"/>
      <c r="Z79" s="376"/>
    </row>
    <row r="80" ht="15.75" customHeight="1" spans="1:26" x14ac:dyDescent="0.25">
      <c r="A80" s="376"/>
      <c r="B80" s="377"/>
      <c r="C80" s="376"/>
      <c r="D80" s="376"/>
      <c r="E80" s="376"/>
      <c r="F80" s="376"/>
      <c r="G80" s="376"/>
      <c r="H80" s="376"/>
      <c r="I80" s="376"/>
      <c r="J80" s="376"/>
      <c r="K80" s="376"/>
      <c r="L80" s="376"/>
      <c r="M80" s="376"/>
      <c r="N80" s="376"/>
      <c r="O80" s="376"/>
      <c r="P80" s="376"/>
      <c r="Q80" s="376"/>
      <c r="R80" s="376"/>
      <c r="S80" s="376"/>
      <c r="T80" s="376"/>
      <c r="U80" s="376"/>
      <c r="V80" s="376"/>
      <c r="W80" s="376"/>
      <c r="X80" s="376"/>
      <c r="Y80" s="376"/>
      <c r="Z80" s="376"/>
    </row>
    <row r="81" ht="15.75" customHeight="1" spans="1:26" x14ac:dyDescent="0.25">
      <c r="A81" s="376"/>
      <c r="B81" s="377"/>
      <c r="C81" s="376"/>
      <c r="D81" s="376"/>
      <c r="E81" s="376"/>
      <c r="F81" s="376"/>
      <c r="G81" s="376"/>
      <c r="H81" s="376"/>
      <c r="I81" s="376"/>
      <c r="J81" s="376"/>
      <c r="K81" s="376"/>
      <c r="L81" s="376"/>
      <c r="M81" s="376"/>
      <c r="N81" s="376"/>
      <c r="O81" s="376"/>
      <c r="P81" s="376"/>
      <c r="Q81" s="376"/>
      <c r="R81" s="376"/>
      <c r="S81" s="376"/>
      <c r="T81" s="376"/>
      <c r="U81" s="376"/>
      <c r="V81" s="376"/>
      <c r="W81" s="376"/>
      <c r="X81" s="376"/>
      <c r="Y81" s="376"/>
      <c r="Z81" s="376"/>
    </row>
    <row r="82" ht="15.75" customHeight="1" spans="1:26" x14ac:dyDescent="0.25">
      <c r="A82" s="376"/>
      <c r="B82" s="377"/>
      <c r="C82" s="376"/>
      <c r="D82" s="376"/>
      <c r="E82" s="376"/>
      <c r="F82" s="376"/>
      <c r="G82" s="376"/>
      <c r="H82" s="376"/>
      <c r="I82" s="376"/>
      <c r="J82" s="376"/>
      <c r="K82" s="376"/>
      <c r="L82" s="376"/>
      <c r="M82" s="376"/>
      <c r="N82" s="376"/>
      <c r="O82" s="376"/>
      <c r="P82" s="376"/>
      <c r="Q82" s="376"/>
      <c r="R82" s="376"/>
      <c r="S82" s="376"/>
      <c r="T82" s="376"/>
      <c r="U82" s="376"/>
      <c r="V82" s="376"/>
      <c r="W82" s="376"/>
      <c r="X82" s="376"/>
      <c r="Y82" s="376"/>
      <c r="Z82" s="376"/>
    </row>
    <row r="83" ht="15.75" customHeight="1" spans="1:26" x14ac:dyDescent="0.25">
      <c r="A83" s="376"/>
      <c r="B83" s="377"/>
      <c r="C83" s="376"/>
      <c r="D83" s="376"/>
      <c r="E83" s="376"/>
      <c r="F83" s="376"/>
      <c r="G83" s="376"/>
      <c r="H83" s="376"/>
      <c r="I83" s="376"/>
      <c r="J83" s="376"/>
      <c r="K83" s="376"/>
      <c r="L83" s="376"/>
      <c r="M83" s="376"/>
      <c r="N83" s="376"/>
      <c r="O83" s="376"/>
      <c r="P83" s="376"/>
      <c r="Q83" s="376"/>
      <c r="R83" s="376"/>
      <c r="S83" s="376"/>
      <c r="T83" s="376"/>
      <c r="U83" s="376"/>
      <c r="V83" s="376"/>
      <c r="W83" s="376"/>
      <c r="X83" s="376"/>
      <c r="Y83" s="376"/>
      <c r="Z83" s="376"/>
    </row>
    <row r="84" ht="15.75" customHeight="1" spans="1:26" x14ac:dyDescent="0.25">
      <c r="A84" s="376"/>
      <c r="B84" s="377"/>
      <c r="C84" s="376"/>
      <c r="D84" s="376"/>
      <c r="E84" s="376"/>
      <c r="F84" s="376"/>
      <c r="G84" s="376"/>
      <c r="H84" s="376"/>
      <c r="I84" s="376"/>
      <c r="J84" s="376"/>
      <c r="K84" s="376"/>
      <c r="L84" s="376"/>
      <c r="M84" s="376"/>
      <c r="N84" s="376"/>
      <c r="O84" s="376"/>
      <c r="P84" s="376"/>
      <c r="Q84" s="376"/>
      <c r="R84" s="376"/>
      <c r="S84" s="376"/>
      <c r="T84" s="376"/>
      <c r="U84" s="376"/>
      <c r="V84" s="376"/>
      <c r="W84" s="376"/>
      <c r="X84" s="376"/>
      <c r="Y84" s="376"/>
      <c r="Z84" s="376"/>
    </row>
    <row r="85" ht="15.75" customHeight="1" spans="1:26" x14ac:dyDescent="0.25">
      <c r="A85" s="376"/>
      <c r="B85" s="377"/>
      <c r="C85" s="376"/>
      <c r="D85" s="376"/>
      <c r="E85" s="376"/>
      <c r="F85" s="376"/>
      <c r="G85" s="376"/>
      <c r="H85" s="376"/>
      <c r="I85" s="376"/>
      <c r="J85" s="376"/>
      <c r="K85" s="376"/>
      <c r="L85" s="376"/>
      <c r="M85" s="376"/>
      <c r="N85" s="376"/>
      <c r="O85" s="376"/>
      <c r="P85" s="376"/>
      <c r="Q85" s="376"/>
      <c r="R85" s="376"/>
      <c r="S85" s="376"/>
      <c r="T85" s="376"/>
      <c r="U85" s="376"/>
      <c r="V85" s="376"/>
      <c r="W85" s="376"/>
      <c r="X85" s="376"/>
      <c r="Y85" s="376"/>
      <c r="Z85" s="376"/>
    </row>
    <row r="86" ht="15.75" customHeight="1" spans="1:26" x14ac:dyDescent="0.25">
      <c r="A86" s="376"/>
      <c r="B86" s="377"/>
      <c r="C86" s="376"/>
      <c r="D86" s="376"/>
      <c r="E86" s="376"/>
      <c r="F86" s="376"/>
      <c r="G86" s="376"/>
      <c r="H86" s="376"/>
      <c r="I86" s="376"/>
      <c r="J86" s="376"/>
      <c r="K86" s="376"/>
      <c r="L86" s="376"/>
      <c r="M86" s="376"/>
      <c r="N86" s="376"/>
      <c r="O86" s="376"/>
      <c r="P86" s="376"/>
      <c r="Q86" s="376"/>
      <c r="R86" s="376"/>
      <c r="S86" s="376"/>
      <c r="T86" s="376"/>
      <c r="U86" s="376"/>
      <c r="V86" s="376"/>
      <c r="W86" s="376"/>
      <c r="X86" s="376"/>
      <c r="Y86" s="376"/>
      <c r="Z86" s="376"/>
    </row>
    <row r="87" ht="15.75" customHeight="1" spans="1:26" x14ac:dyDescent="0.25">
      <c r="A87" s="376"/>
      <c r="B87" s="377"/>
      <c r="C87" s="376"/>
      <c r="D87" s="376"/>
      <c r="E87" s="376"/>
      <c r="F87" s="376"/>
      <c r="G87" s="376"/>
      <c r="H87" s="376"/>
      <c r="I87" s="376"/>
      <c r="J87" s="376"/>
      <c r="K87" s="376"/>
      <c r="L87" s="376"/>
      <c r="M87" s="376"/>
      <c r="N87" s="376"/>
      <c r="O87" s="376"/>
      <c r="P87" s="376"/>
      <c r="Q87" s="376"/>
      <c r="R87" s="376"/>
      <c r="S87" s="376"/>
      <c r="T87" s="376"/>
      <c r="U87" s="376"/>
      <c r="V87" s="376"/>
      <c r="W87" s="376"/>
      <c r="X87" s="376"/>
      <c r="Y87" s="376"/>
      <c r="Z87" s="376"/>
    </row>
    <row r="88" ht="15.75" customHeight="1" spans="1:26" x14ac:dyDescent="0.25">
      <c r="A88" s="376"/>
      <c r="B88" s="377"/>
      <c r="C88" s="376"/>
      <c r="D88" s="376"/>
      <c r="E88" s="376"/>
      <c r="F88" s="376"/>
      <c r="G88" s="376"/>
      <c r="H88" s="376"/>
      <c r="I88" s="376"/>
      <c r="J88" s="376"/>
      <c r="K88" s="376"/>
      <c r="L88" s="376"/>
      <c r="M88" s="376"/>
      <c r="N88" s="376"/>
      <c r="O88" s="376"/>
      <c r="P88" s="376"/>
      <c r="Q88" s="376"/>
      <c r="R88" s="376"/>
      <c r="S88" s="376"/>
      <c r="T88" s="376"/>
      <c r="U88" s="376"/>
      <c r="V88" s="376"/>
      <c r="W88" s="376"/>
      <c r="X88" s="376"/>
      <c r="Y88" s="376"/>
      <c r="Z88" s="376"/>
    </row>
    <row r="89" ht="15.75" customHeight="1" spans="1:26" x14ac:dyDescent="0.25">
      <c r="A89" s="376"/>
      <c r="B89" s="377"/>
      <c r="C89" s="376"/>
      <c r="D89" s="376"/>
      <c r="E89" s="376"/>
      <c r="F89" s="376"/>
      <c r="G89" s="376"/>
      <c r="H89" s="376"/>
      <c r="I89" s="376"/>
      <c r="J89" s="376"/>
      <c r="K89" s="376"/>
      <c r="L89" s="376"/>
      <c r="M89" s="376"/>
      <c r="N89" s="376"/>
      <c r="O89" s="376"/>
      <c r="P89" s="376"/>
      <c r="Q89" s="376"/>
      <c r="R89" s="376"/>
      <c r="S89" s="376"/>
      <c r="T89" s="376"/>
      <c r="U89" s="376"/>
      <c r="V89" s="376"/>
      <c r="W89" s="376"/>
      <c r="X89" s="376"/>
      <c r="Y89" s="376"/>
      <c r="Z89" s="376"/>
    </row>
    <row r="90" ht="15.75" customHeight="1" spans="1:26" x14ac:dyDescent="0.25">
      <c r="A90" s="376"/>
      <c r="B90" s="377"/>
      <c r="C90" s="376"/>
      <c r="D90" s="376"/>
      <c r="E90" s="376"/>
      <c r="F90" s="376"/>
      <c r="G90" s="376"/>
      <c r="H90" s="376"/>
      <c r="I90" s="376"/>
      <c r="J90" s="376"/>
      <c r="K90" s="376"/>
      <c r="L90" s="376"/>
      <c r="M90" s="376"/>
      <c r="N90" s="376"/>
      <c r="O90" s="376"/>
      <c r="P90" s="376"/>
      <c r="Q90" s="376"/>
      <c r="R90" s="376"/>
      <c r="S90" s="376"/>
      <c r="T90" s="376"/>
      <c r="U90" s="376"/>
      <c r="V90" s="376"/>
      <c r="W90" s="376"/>
      <c r="X90" s="376"/>
      <c r="Y90" s="376"/>
      <c r="Z90" s="376"/>
    </row>
    <row r="91" ht="15.75" customHeight="1" spans="1:26" x14ac:dyDescent="0.25">
      <c r="A91" s="376"/>
      <c r="B91" s="377"/>
      <c r="C91" s="376"/>
      <c r="D91" s="376"/>
      <c r="E91" s="376"/>
      <c r="F91" s="376"/>
      <c r="G91" s="376"/>
      <c r="H91" s="376"/>
      <c r="I91" s="376"/>
      <c r="J91" s="376"/>
      <c r="K91" s="376"/>
      <c r="L91" s="376"/>
      <c r="M91" s="376"/>
      <c r="N91" s="376"/>
      <c r="O91" s="376"/>
      <c r="P91" s="376"/>
      <c r="Q91" s="376"/>
      <c r="R91" s="376"/>
      <c r="S91" s="376"/>
      <c r="T91" s="376"/>
      <c r="U91" s="376"/>
      <c r="V91" s="376"/>
      <c r="W91" s="376"/>
      <c r="X91" s="376"/>
      <c r="Y91" s="376"/>
      <c r="Z91" s="376"/>
    </row>
    <row r="92" ht="15.75" customHeight="1" spans="1:26" x14ac:dyDescent="0.25">
      <c r="A92" s="376"/>
      <c r="B92" s="377"/>
      <c r="C92" s="376"/>
      <c r="D92" s="376"/>
      <c r="E92" s="376"/>
      <c r="F92" s="376"/>
      <c r="G92" s="376"/>
      <c r="H92" s="376"/>
      <c r="I92" s="376"/>
      <c r="J92" s="376"/>
      <c r="K92" s="376"/>
      <c r="L92" s="376"/>
      <c r="M92" s="376"/>
      <c r="N92" s="376"/>
      <c r="O92" s="376"/>
      <c r="P92" s="376"/>
      <c r="Q92" s="376"/>
      <c r="R92" s="376"/>
      <c r="S92" s="376"/>
      <c r="T92" s="376"/>
      <c r="U92" s="376"/>
      <c r="V92" s="376"/>
      <c r="W92" s="376"/>
      <c r="X92" s="376"/>
      <c r="Y92" s="376"/>
      <c r="Z92" s="376"/>
    </row>
    <row r="93" ht="15.75" customHeight="1" spans="1:26" x14ac:dyDescent="0.25">
      <c r="A93" s="376"/>
      <c r="B93" s="377"/>
      <c r="C93" s="376"/>
      <c r="D93" s="376"/>
      <c r="E93" s="376"/>
      <c r="F93" s="376"/>
      <c r="G93" s="376"/>
      <c r="H93" s="376"/>
      <c r="I93" s="376"/>
      <c r="J93" s="376"/>
      <c r="K93" s="376"/>
      <c r="L93" s="376"/>
      <c r="M93" s="376"/>
      <c r="N93" s="376"/>
      <c r="O93" s="376"/>
      <c r="P93" s="376"/>
      <c r="Q93" s="376"/>
      <c r="R93" s="376"/>
      <c r="S93" s="376"/>
      <c r="T93" s="376"/>
      <c r="U93" s="376"/>
      <c r="V93" s="376"/>
      <c r="W93" s="376"/>
      <c r="X93" s="376"/>
      <c r="Y93" s="376"/>
      <c r="Z93" s="376"/>
    </row>
    <row r="94" ht="15.75" customHeight="1" spans="1:26" x14ac:dyDescent="0.25">
      <c r="A94" s="376"/>
      <c r="B94" s="377"/>
      <c r="C94" s="376"/>
      <c r="D94" s="376"/>
      <c r="E94" s="376"/>
      <c r="F94" s="376"/>
      <c r="G94" s="376"/>
      <c r="H94" s="376"/>
      <c r="I94" s="376"/>
      <c r="J94" s="376"/>
      <c r="K94" s="376"/>
      <c r="L94" s="376"/>
      <c r="M94" s="376"/>
      <c r="N94" s="376"/>
      <c r="O94" s="376"/>
      <c r="P94" s="376"/>
      <c r="Q94" s="376"/>
      <c r="R94" s="376"/>
      <c r="S94" s="376"/>
      <c r="T94" s="376"/>
      <c r="U94" s="376"/>
      <c r="V94" s="376"/>
      <c r="W94" s="376"/>
      <c r="X94" s="376"/>
      <c r="Y94" s="376"/>
      <c r="Z94" s="376"/>
    </row>
    <row r="95" ht="15.75" customHeight="1" spans="1:26" x14ac:dyDescent="0.25">
      <c r="A95" s="376"/>
      <c r="B95" s="377"/>
      <c r="C95" s="376"/>
      <c r="D95" s="376"/>
      <c r="E95" s="376"/>
      <c r="F95" s="376"/>
      <c r="G95" s="376"/>
      <c r="H95" s="376"/>
      <c r="I95" s="376"/>
      <c r="J95" s="376"/>
      <c r="K95" s="376"/>
      <c r="L95" s="376"/>
      <c r="M95" s="376"/>
      <c r="N95" s="376"/>
      <c r="O95" s="376"/>
      <c r="P95" s="376"/>
      <c r="Q95" s="376"/>
      <c r="R95" s="376"/>
      <c r="S95" s="376"/>
      <c r="T95" s="376"/>
      <c r="U95" s="376"/>
      <c r="V95" s="376"/>
      <c r="W95" s="376"/>
      <c r="X95" s="376"/>
      <c r="Y95" s="376"/>
      <c r="Z95" s="376"/>
    </row>
    <row r="96" ht="15.75" customHeight="1" spans="1:26" x14ac:dyDescent="0.25">
      <c r="A96" s="376"/>
      <c r="B96" s="377"/>
      <c r="C96" s="376"/>
      <c r="D96" s="376"/>
      <c r="E96" s="376"/>
      <c r="F96" s="376"/>
      <c r="G96" s="376"/>
      <c r="H96" s="376"/>
      <c r="I96" s="376"/>
      <c r="J96" s="376"/>
      <c r="K96" s="376"/>
      <c r="L96" s="376"/>
      <c r="M96" s="376"/>
      <c r="N96" s="376"/>
      <c r="O96" s="376"/>
      <c r="P96" s="376"/>
      <c r="Q96" s="376"/>
      <c r="R96" s="376"/>
      <c r="S96" s="376"/>
      <c r="T96" s="376"/>
      <c r="U96" s="376"/>
      <c r="V96" s="376"/>
      <c r="W96" s="376"/>
      <c r="X96" s="376"/>
      <c r="Y96" s="376"/>
      <c r="Z96" s="376"/>
    </row>
    <row r="97" ht="15.75" customHeight="1" spans="1:26" x14ac:dyDescent="0.25">
      <c r="A97" s="376"/>
      <c r="B97" s="377"/>
      <c r="C97" s="376"/>
      <c r="D97" s="376"/>
      <c r="E97" s="376"/>
      <c r="F97" s="376"/>
      <c r="G97" s="376"/>
      <c r="H97" s="376"/>
      <c r="I97" s="376"/>
      <c r="J97" s="376"/>
      <c r="K97" s="376"/>
      <c r="L97" s="376"/>
      <c r="M97" s="376"/>
      <c r="N97" s="376"/>
      <c r="O97" s="376"/>
      <c r="P97" s="376"/>
      <c r="Q97" s="376"/>
      <c r="R97" s="376"/>
      <c r="S97" s="376"/>
      <c r="T97" s="376"/>
      <c r="U97" s="376"/>
      <c r="V97" s="376"/>
      <c r="W97" s="376"/>
      <c r="X97" s="376"/>
      <c r="Y97" s="376"/>
      <c r="Z97" s="376"/>
    </row>
    <row r="98" ht="15.75" customHeight="1" spans="1:26" x14ac:dyDescent="0.25">
      <c r="A98" s="376"/>
      <c r="B98" s="377"/>
      <c r="C98" s="376"/>
      <c r="D98" s="376"/>
      <c r="E98" s="376"/>
      <c r="F98" s="376"/>
      <c r="G98" s="376"/>
      <c r="H98" s="376"/>
      <c r="I98" s="376"/>
      <c r="J98" s="376"/>
      <c r="K98" s="376"/>
      <c r="L98" s="376"/>
      <c r="M98" s="376"/>
      <c r="N98" s="376"/>
      <c r="O98" s="376"/>
      <c r="P98" s="376"/>
      <c r="Q98" s="376"/>
      <c r="R98" s="376"/>
      <c r="S98" s="376"/>
      <c r="T98" s="376"/>
      <c r="U98" s="376"/>
      <c r="V98" s="376"/>
      <c r="W98" s="376"/>
      <c r="X98" s="376"/>
      <c r="Y98" s="376"/>
      <c r="Z98" s="376"/>
    </row>
    <row r="99" ht="15.75" customHeight="1" spans="1:26" x14ac:dyDescent="0.25">
      <c r="A99" s="376"/>
      <c r="B99" s="377"/>
      <c r="C99" s="376"/>
      <c r="D99" s="376"/>
      <c r="E99" s="376"/>
      <c r="F99" s="376"/>
      <c r="G99" s="376"/>
      <c r="H99" s="376"/>
      <c r="I99" s="376"/>
      <c r="J99" s="376"/>
      <c r="K99" s="376"/>
      <c r="L99" s="376"/>
      <c r="M99" s="376"/>
      <c r="N99" s="376"/>
      <c r="O99" s="376"/>
      <c r="P99" s="376"/>
      <c r="Q99" s="376"/>
      <c r="R99" s="376"/>
      <c r="S99" s="376"/>
      <c r="T99" s="376"/>
      <c r="U99" s="376"/>
      <c r="V99" s="376"/>
      <c r="W99" s="376"/>
      <c r="X99" s="376"/>
      <c r="Y99" s="376"/>
      <c r="Z99" s="376"/>
    </row>
    <row r="100" ht="15.75" customHeight="1" spans="1:26" x14ac:dyDescent="0.25">
      <c r="A100" s="376"/>
      <c r="B100" s="377"/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6"/>
      <c r="P100" s="376"/>
      <c r="Q100" s="376"/>
      <c r="R100" s="376"/>
      <c r="S100" s="376"/>
      <c r="T100" s="376"/>
      <c r="U100" s="376"/>
      <c r="V100" s="376"/>
      <c r="W100" s="376"/>
      <c r="X100" s="376"/>
      <c r="Y100" s="376"/>
      <c r="Z100" s="376"/>
    </row>
    <row r="101" ht="15.75" customHeight="1" spans="1:26" x14ac:dyDescent="0.25">
      <c r="A101" s="376"/>
      <c r="B101" s="377"/>
      <c r="C101" s="376"/>
      <c r="D101" s="376"/>
      <c r="E101" s="376"/>
      <c r="F101" s="376"/>
      <c r="G101" s="376"/>
      <c r="H101" s="376"/>
      <c r="I101" s="376"/>
      <c r="J101" s="376"/>
      <c r="K101" s="376"/>
      <c r="L101" s="376"/>
      <c r="M101" s="376"/>
      <c r="N101" s="376"/>
      <c r="O101" s="376"/>
      <c r="P101" s="376"/>
      <c r="Q101" s="376"/>
      <c r="R101" s="376"/>
      <c r="S101" s="376"/>
      <c r="T101" s="376"/>
      <c r="U101" s="376"/>
      <c r="V101" s="376"/>
      <c r="W101" s="376"/>
      <c r="X101" s="376"/>
      <c r="Y101" s="376"/>
      <c r="Z101" s="376"/>
    </row>
    <row r="102" ht="15.75" customHeight="1" spans="1:26" x14ac:dyDescent="0.25">
      <c r="A102" s="376"/>
      <c r="B102" s="377"/>
      <c r="C102" s="376"/>
      <c r="D102" s="376"/>
      <c r="E102" s="376"/>
      <c r="F102" s="376"/>
      <c r="G102" s="376"/>
      <c r="H102" s="376"/>
      <c r="I102" s="376"/>
      <c r="J102" s="376"/>
      <c r="K102" s="376"/>
      <c r="L102" s="376"/>
      <c r="M102" s="376"/>
      <c r="N102" s="376"/>
      <c r="O102" s="376"/>
      <c r="P102" s="376"/>
      <c r="Q102" s="376"/>
      <c r="R102" s="376"/>
      <c r="S102" s="376"/>
      <c r="T102" s="376"/>
      <c r="U102" s="376"/>
      <c r="V102" s="376"/>
      <c r="W102" s="376"/>
      <c r="X102" s="376"/>
      <c r="Y102" s="376"/>
      <c r="Z102" s="376"/>
    </row>
    <row r="103" ht="15.75" customHeight="1" spans="1:26" x14ac:dyDescent="0.25">
      <c r="A103" s="376"/>
      <c r="B103" s="377"/>
      <c r="C103" s="376"/>
      <c r="D103" s="376"/>
      <c r="E103" s="376"/>
      <c r="F103" s="376"/>
      <c r="G103" s="376"/>
      <c r="H103" s="376"/>
      <c r="I103" s="376"/>
      <c r="J103" s="376"/>
      <c r="K103" s="376"/>
      <c r="L103" s="376"/>
      <c r="M103" s="376"/>
      <c r="N103" s="376"/>
      <c r="O103" s="376"/>
      <c r="P103" s="376"/>
      <c r="Q103" s="376"/>
      <c r="R103" s="376"/>
      <c r="S103" s="376"/>
      <c r="T103" s="376"/>
      <c r="U103" s="376"/>
      <c r="V103" s="376"/>
      <c r="W103" s="376"/>
      <c r="X103" s="376"/>
      <c r="Y103" s="376"/>
      <c r="Z103" s="376"/>
    </row>
    <row r="104" ht="15.75" customHeight="1" spans="1:26" x14ac:dyDescent="0.25">
      <c r="A104" s="376"/>
      <c r="B104" s="377"/>
      <c r="C104" s="376"/>
      <c r="D104" s="376"/>
      <c r="E104" s="376"/>
      <c r="F104" s="376"/>
      <c r="G104" s="376"/>
      <c r="H104" s="376"/>
      <c r="I104" s="376"/>
      <c r="J104" s="376"/>
      <c r="K104" s="376"/>
      <c r="L104" s="376"/>
      <c r="M104" s="376"/>
      <c r="N104" s="376"/>
      <c r="O104" s="376"/>
      <c r="P104" s="376"/>
      <c r="Q104" s="376"/>
      <c r="R104" s="376"/>
      <c r="S104" s="376"/>
      <c r="T104" s="376"/>
      <c r="U104" s="376"/>
      <c r="V104" s="376"/>
      <c r="W104" s="376"/>
      <c r="X104" s="376"/>
      <c r="Y104" s="376"/>
      <c r="Z104" s="376"/>
    </row>
    <row r="105" ht="15.75" customHeight="1" spans="1:26" x14ac:dyDescent="0.25">
      <c r="A105" s="376"/>
      <c r="B105" s="377"/>
      <c r="C105" s="376"/>
      <c r="D105" s="376"/>
      <c r="E105" s="376"/>
      <c r="F105" s="376"/>
      <c r="G105" s="376"/>
      <c r="H105" s="376"/>
      <c r="I105" s="376"/>
      <c r="J105" s="376"/>
      <c r="K105" s="376"/>
      <c r="L105" s="376"/>
      <c r="M105" s="376"/>
      <c r="N105" s="376"/>
      <c r="O105" s="376"/>
      <c r="P105" s="376"/>
      <c r="Q105" s="376"/>
      <c r="R105" s="376"/>
      <c r="S105" s="376"/>
      <c r="T105" s="376"/>
      <c r="U105" s="376"/>
      <c r="V105" s="376"/>
      <c r="W105" s="376"/>
      <c r="X105" s="376"/>
      <c r="Y105" s="376"/>
      <c r="Z105" s="376"/>
    </row>
    <row r="106" ht="15.75" customHeight="1" spans="1:26" x14ac:dyDescent="0.25">
      <c r="A106" s="376"/>
      <c r="B106" s="377"/>
      <c r="C106" s="376"/>
      <c r="D106" s="376"/>
      <c r="E106" s="376"/>
      <c r="F106" s="376"/>
      <c r="G106" s="376"/>
      <c r="H106" s="376"/>
      <c r="I106" s="376"/>
      <c r="J106" s="376"/>
      <c r="K106" s="376"/>
      <c r="L106" s="376"/>
      <c r="M106" s="376"/>
      <c r="N106" s="376"/>
      <c r="O106" s="376"/>
      <c r="P106" s="376"/>
      <c r="Q106" s="376"/>
      <c r="R106" s="376"/>
      <c r="S106" s="376"/>
      <c r="T106" s="376"/>
      <c r="U106" s="376"/>
      <c r="V106" s="376"/>
      <c r="W106" s="376"/>
      <c r="X106" s="376"/>
      <c r="Y106" s="376"/>
      <c r="Z106" s="376"/>
    </row>
    <row r="107" ht="15.75" customHeight="1" spans="1:26" x14ac:dyDescent="0.25">
      <c r="A107" s="376"/>
      <c r="B107" s="377"/>
      <c r="C107" s="376"/>
      <c r="D107" s="376"/>
      <c r="E107" s="376"/>
      <c r="F107" s="376"/>
      <c r="G107" s="376"/>
      <c r="H107" s="376"/>
      <c r="I107" s="376"/>
      <c r="J107" s="376"/>
      <c r="K107" s="376"/>
      <c r="L107" s="376"/>
      <c r="M107" s="376"/>
      <c r="N107" s="376"/>
      <c r="O107" s="376"/>
      <c r="P107" s="376"/>
      <c r="Q107" s="376"/>
      <c r="R107" s="376"/>
      <c r="S107" s="376"/>
      <c r="T107" s="376"/>
      <c r="U107" s="376"/>
      <c r="V107" s="376"/>
      <c r="W107" s="376"/>
      <c r="X107" s="376"/>
      <c r="Y107" s="376"/>
      <c r="Z107" s="376"/>
    </row>
    <row r="108" ht="15.75" customHeight="1" spans="1:26" x14ac:dyDescent="0.25">
      <c r="A108" s="376"/>
      <c r="B108" s="377"/>
      <c r="C108" s="376"/>
      <c r="D108" s="376"/>
      <c r="E108" s="376"/>
      <c r="F108" s="376"/>
      <c r="G108" s="376"/>
      <c r="H108" s="376"/>
      <c r="I108" s="376"/>
      <c r="J108" s="376"/>
      <c r="K108" s="376"/>
      <c r="L108" s="376"/>
      <c r="M108" s="376"/>
      <c r="N108" s="376"/>
      <c r="O108" s="376"/>
      <c r="P108" s="376"/>
      <c r="Q108" s="376"/>
      <c r="R108" s="376"/>
      <c r="S108" s="376"/>
      <c r="T108" s="376"/>
      <c r="U108" s="376"/>
      <c r="V108" s="376"/>
      <c r="W108" s="376"/>
      <c r="X108" s="376"/>
      <c r="Y108" s="376"/>
      <c r="Z108" s="376"/>
    </row>
    <row r="109" ht="15.75" customHeight="1" spans="1:26" x14ac:dyDescent="0.25">
      <c r="A109" s="376"/>
      <c r="B109" s="377"/>
      <c r="C109" s="376"/>
      <c r="D109" s="376"/>
      <c r="E109" s="376"/>
      <c r="F109" s="376"/>
      <c r="G109" s="376"/>
      <c r="H109" s="376"/>
      <c r="I109" s="376"/>
      <c r="J109" s="376"/>
      <c r="K109" s="376"/>
      <c r="L109" s="376"/>
      <c r="M109" s="376"/>
      <c r="N109" s="376"/>
      <c r="O109" s="376"/>
      <c r="P109" s="376"/>
      <c r="Q109" s="376"/>
      <c r="R109" s="376"/>
      <c r="S109" s="376"/>
      <c r="T109" s="376"/>
      <c r="U109" s="376"/>
      <c r="V109" s="376"/>
      <c r="W109" s="376"/>
      <c r="X109" s="376"/>
      <c r="Y109" s="376"/>
      <c r="Z109" s="376"/>
    </row>
    <row r="110" ht="15.75" customHeight="1" spans="1:26" x14ac:dyDescent="0.25">
      <c r="A110" s="376"/>
      <c r="B110" s="377"/>
      <c r="C110" s="376"/>
      <c r="D110" s="376"/>
      <c r="E110" s="376"/>
      <c r="F110" s="376"/>
      <c r="G110" s="376"/>
      <c r="H110" s="376"/>
      <c r="I110" s="376"/>
      <c r="J110" s="376"/>
      <c r="K110" s="376"/>
      <c r="L110" s="376"/>
      <c r="M110" s="376"/>
      <c r="N110" s="376"/>
      <c r="O110" s="376"/>
      <c r="P110" s="376"/>
      <c r="Q110" s="376"/>
      <c r="R110" s="376"/>
      <c r="S110" s="376"/>
      <c r="T110" s="376"/>
      <c r="U110" s="376"/>
      <c r="V110" s="376"/>
      <c r="W110" s="376"/>
      <c r="X110" s="376"/>
      <c r="Y110" s="376"/>
      <c r="Z110" s="376"/>
    </row>
    <row r="111" ht="15.75" customHeight="1" spans="1:26" x14ac:dyDescent="0.25">
      <c r="A111" s="376"/>
      <c r="B111" s="377"/>
      <c r="C111" s="376"/>
      <c r="D111" s="376"/>
      <c r="E111" s="376"/>
      <c r="F111" s="376"/>
      <c r="G111" s="376"/>
      <c r="H111" s="376"/>
      <c r="I111" s="376"/>
      <c r="J111" s="376"/>
      <c r="K111" s="376"/>
      <c r="L111" s="376"/>
      <c r="M111" s="376"/>
      <c r="N111" s="376"/>
      <c r="O111" s="376"/>
      <c r="P111" s="376"/>
      <c r="Q111" s="376"/>
      <c r="R111" s="376"/>
      <c r="S111" s="376"/>
      <c r="T111" s="376"/>
      <c r="U111" s="376"/>
      <c r="V111" s="376"/>
      <c r="W111" s="376"/>
      <c r="X111" s="376"/>
      <c r="Y111" s="376"/>
      <c r="Z111" s="376"/>
    </row>
    <row r="112" ht="15.75" customHeight="1" spans="1:26" x14ac:dyDescent="0.25">
      <c r="A112" s="376"/>
      <c r="B112" s="377"/>
      <c r="C112" s="376"/>
      <c r="D112" s="376"/>
      <c r="E112" s="376"/>
      <c r="F112" s="376"/>
      <c r="G112" s="376"/>
      <c r="H112" s="376"/>
      <c r="I112" s="376"/>
      <c r="J112" s="376"/>
      <c r="K112" s="376"/>
      <c r="L112" s="376"/>
      <c r="M112" s="376"/>
      <c r="N112" s="376"/>
      <c r="O112" s="376"/>
      <c r="P112" s="376"/>
      <c r="Q112" s="376"/>
      <c r="R112" s="376"/>
      <c r="S112" s="376"/>
      <c r="T112" s="376"/>
      <c r="U112" s="376"/>
      <c r="V112" s="376"/>
      <c r="W112" s="376"/>
      <c r="X112" s="376"/>
      <c r="Y112" s="376"/>
      <c r="Z112" s="376"/>
    </row>
    <row r="113" ht="15.75" customHeight="1" spans="1:26" x14ac:dyDescent="0.25">
      <c r="A113" s="376"/>
      <c r="B113" s="377"/>
      <c r="C113" s="376"/>
      <c r="D113" s="376"/>
      <c r="E113" s="376"/>
      <c r="F113" s="376"/>
      <c r="G113" s="376"/>
      <c r="H113" s="376"/>
      <c r="I113" s="376"/>
      <c r="J113" s="376"/>
      <c r="K113" s="376"/>
      <c r="L113" s="376"/>
      <c r="M113" s="376"/>
      <c r="N113" s="376"/>
      <c r="O113" s="376"/>
      <c r="P113" s="376"/>
      <c r="Q113" s="376"/>
      <c r="R113" s="376"/>
      <c r="S113" s="376"/>
      <c r="T113" s="376"/>
      <c r="U113" s="376"/>
      <c r="V113" s="376"/>
      <c r="W113" s="376"/>
      <c r="X113" s="376"/>
      <c r="Y113" s="376"/>
      <c r="Z113" s="376"/>
    </row>
    <row r="114" ht="15.75" customHeight="1" spans="1:26" x14ac:dyDescent="0.25">
      <c r="A114" s="376"/>
      <c r="B114" s="377"/>
      <c r="C114" s="376"/>
      <c r="D114" s="376"/>
      <c r="E114" s="376"/>
      <c r="F114" s="376"/>
      <c r="G114" s="376"/>
      <c r="H114" s="376"/>
      <c r="I114" s="376"/>
      <c r="J114" s="376"/>
      <c r="K114" s="376"/>
      <c r="L114" s="376"/>
      <c r="M114" s="376"/>
      <c r="N114" s="376"/>
      <c r="O114" s="376"/>
      <c r="P114" s="376"/>
      <c r="Q114" s="376"/>
      <c r="R114" s="376"/>
      <c r="S114" s="376"/>
      <c r="T114" s="376"/>
      <c r="U114" s="376"/>
      <c r="V114" s="376"/>
      <c r="W114" s="376"/>
      <c r="X114" s="376"/>
      <c r="Y114" s="376"/>
      <c r="Z114" s="376"/>
    </row>
    <row r="115" ht="15.75" customHeight="1" spans="1:26" x14ac:dyDescent="0.25">
      <c r="A115" s="376"/>
      <c r="B115" s="377"/>
      <c r="C115" s="376"/>
      <c r="D115" s="376"/>
      <c r="E115" s="376"/>
      <c r="F115" s="376"/>
      <c r="G115" s="376"/>
      <c r="H115" s="376"/>
      <c r="I115" s="376"/>
      <c r="J115" s="376"/>
      <c r="K115" s="376"/>
      <c r="L115" s="376"/>
      <c r="M115" s="376"/>
      <c r="N115" s="376"/>
      <c r="O115" s="376"/>
      <c r="P115" s="376"/>
      <c r="Q115" s="376"/>
      <c r="R115" s="376"/>
      <c r="S115" s="376"/>
      <c r="T115" s="376"/>
      <c r="U115" s="376"/>
      <c r="V115" s="376"/>
      <c r="W115" s="376"/>
      <c r="X115" s="376"/>
      <c r="Y115" s="376"/>
      <c r="Z115" s="376"/>
    </row>
    <row r="116" ht="15.75" customHeight="1" spans="1:26" x14ac:dyDescent="0.25">
      <c r="A116" s="376"/>
      <c r="B116" s="377"/>
      <c r="C116" s="376"/>
      <c r="D116" s="376"/>
      <c r="E116" s="376"/>
      <c r="F116" s="376"/>
      <c r="G116" s="376"/>
      <c r="H116" s="376"/>
      <c r="I116" s="376"/>
      <c r="J116" s="376"/>
      <c r="K116" s="376"/>
      <c r="L116" s="376"/>
      <c r="M116" s="376"/>
      <c r="N116" s="376"/>
      <c r="O116" s="376"/>
      <c r="P116" s="376"/>
      <c r="Q116" s="376"/>
      <c r="R116" s="376"/>
      <c r="S116" s="376"/>
      <c r="T116" s="376"/>
      <c r="U116" s="376"/>
      <c r="V116" s="376"/>
      <c r="W116" s="376"/>
      <c r="X116" s="376"/>
      <c r="Y116" s="376"/>
      <c r="Z116" s="376"/>
    </row>
    <row r="117" ht="15.75" customHeight="1" spans="1:26" x14ac:dyDescent="0.25">
      <c r="A117" s="376"/>
      <c r="B117" s="377"/>
      <c r="C117" s="376"/>
      <c r="D117" s="376"/>
      <c r="E117" s="376"/>
      <c r="F117" s="376"/>
      <c r="G117" s="376"/>
      <c r="H117" s="376"/>
      <c r="I117" s="376"/>
      <c r="J117" s="376"/>
      <c r="K117" s="376"/>
      <c r="L117" s="376"/>
      <c r="M117" s="376"/>
      <c r="N117" s="376"/>
      <c r="O117" s="376"/>
      <c r="P117" s="376"/>
      <c r="Q117" s="376"/>
      <c r="R117" s="376"/>
      <c r="S117" s="376"/>
      <c r="T117" s="376"/>
      <c r="U117" s="376"/>
      <c r="V117" s="376"/>
      <c r="W117" s="376"/>
      <c r="X117" s="376"/>
      <c r="Y117" s="376"/>
      <c r="Z117" s="376"/>
    </row>
    <row r="118" ht="15.75" customHeight="1" spans="1:26" x14ac:dyDescent="0.25">
      <c r="A118" s="376"/>
      <c r="B118" s="377"/>
      <c r="C118" s="376"/>
      <c r="D118" s="376"/>
      <c r="E118" s="376"/>
      <c r="F118" s="376"/>
      <c r="G118" s="376"/>
      <c r="H118" s="376"/>
      <c r="I118" s="376"/>
      <c r="J118" s="376"/>
      <c r="K118" s="376"/>
      <c r="L118" s="376"/>
      <c r="M118" s="376"/>
      <c r="N118" s="376"/>
      <c r="O118" s="376"/>
      <c r="P118" s="376"/>
      <c r="Q118" s="376"/>
      <c r="R118" s="376"/>
      <c r="S118" s="376"/>
      <c r="T118" s="376"/>
      <c r="U118" s="376"/>
      <c r="V118" s="376"/>
      <c r="W118" s="376"/>
      <c r="X118" s="376"/>
      <c r="Y118" s="376"/>
      <c r="Z118" s="376"/>
    </row>
    <row r="119" ht="15.75" customHeight="1" spans="1:26" x14ac:dyDescent="0.25">
      <c r="A119" s="376"/>
      <c r="B119" s="377"/>
      <c r="C119" s="376"/>
      <c r="D119" s="376"/>
      <c r="E119" s="376"/>
      <c r="F119" s="376"/>
      <c r="G119" s="376"/>
      <c r="H119" s="376"/>
      <c r="I119" s="376"/>
      <c r="J119" s="376"/>
      <c r="K119" s="376"/>
      <c r="L119" s="376"/>
      <c r="M119" s="376"/>
      <c r="N119" s="376"/>
      <c r="O119" s="376"/>
      <c r="P119" s="376"/>
      <c r="Q119" s="376"/>
      <c r="R119" s="376"/>
      <c r="S119" s="376"/>
      <c r="T119" s="376"/>
      <c r="U119" s="376"/>
      <c r="V119" s="376"/>
      <c r="W119" s="376"/>
      <c r="X119" s="376"/>
      <c r="Y119" s="376"/>
      <c r="Z119" s="376"/>
    </row>
    <row r="120" ht="15.75" customHeight="1" spans="1:26" x14ac:dyDescent="0.25">
      <c r="A120" s="376"/>
      <c r="B120" s="377"/>
      <c r="C120" s="376"/>
      <c r="D120" s="376"/>
      <c r="E120" s="376"/>
      <c r="F120" s="376"/>
      <c r="G120" s="376"/>
      <c r="H120" s="376"/>
      <c r="I120" s="376"/>
      <c r="J120" s="376"/>
      <c r="K120" s="376"/>
      <c r="L120" s="376"/>
      <c r="M120" s="376"/>
      <c r="N120" s="376"/>
      <c r="O120" s="376"/>
      <c r="P120" s="376"/>
      <c r="Q120" s="376"/>
      <c r="R120" s="376"/>
      <c r="S120" s="376"/>
      <c r="T120" s="376"/>
      <c r="U120" s="376"/>
      <c r="V120" s="376"/>
      <c r="W120" s="376"/>
      <c r="X120" s="376"/>
      <c r="Y120" s="376"/>
      <c r="Z120" s="376"/>
    </row>
    <row r="121" ht="15.75" customHeight="1" spans="1:26" x14ac:dyDescent="0.25">
      <c r="A121" s="376"/>
      <c r="B121" s="377"/>
      <c r="C121" s="376"/>
      <c r="D121" s="376"/>
      <c r="E121" s="376"/>
      <c r="F121" s="376"/>
      <c r="G121" s="376"/>
      <c r="H121" s="376"/>
      <c r="I121" s="376"/>
      <c r="J121" s="376"/>
      <c r="K121" s="376"/>
      <c r="L121" s="376"/>
      <c r="M121" s="376"/>
      <c r="N121" s="376"/>
      <c r="O121" s="376"/>
      <c r="P121" s="376"/>
      <c r="Q121" s="376"/>
      <c r="R121" s="376"/>
      <c r="S121" s="376"/>
      <c r="T121" s="376"/>
      <c r="U121" s="376"/>
      <c r="V121" s="376"/>
      <c r="W121" s="376"/>
      <c r="X121" s="376"/>
      <c r="Y121" s="376"/>
      <c r="Z121" s="376"/>
    </row>
    <row r="122" ht="15.75" customHeight="1" spans="1:26" x14ac:dyDescent="0.25">
      <c r="A122" s="376"/>
      <c r="B122" s="377"/>
      <c r="C122" s="376"/>
      <c r="D122" s="376"/>
      <c r="E122" s="376"/>
      <c r="F122" s="376"/>
      <c r="G122" s="376"/>
      <c r="H122" s="376"/>
      <c r="I122" s="376"/>
      <c r="J122" s="376"/>
      <c r="K122" s="376"/>
      <c r="L122" s="376"/>
      <c r="M122" s="376"/>
      <c r="N122" s="376"/>
      <c r="O122" s="376"/>
      <c r="P122" s="376"/>
      <c r="Q122" s="376"/>
      <c r="R122" s="376"/>
      <c r="S122" s="376"/>
      <c r="T122" s="376"/>
      <c r="U122" s="376"/>
      <c r="V122" s="376"/>
      <c r="W122" s="376"/>
      <c r="X122" s="376"/>
      <c r="Y122" s="376"/>
      <c r="Z122" s="376"/>
    </row>
    <row r="123" ht="15.75" customHeight="1" spans="1:26" x14ac:dyDescent="0.25">
      <c r="A123" s="376"/>
      <c r="B123" s="377"/>
      <c r="C123" s="376"/>
      <c r="D123" s="376"/>
      <c r="E123" s="376"/>
      <c r="F123" s="376"/>
      <c r="G123" s="376"/>
      <c r="H123" s="376"/>
      <c r="I123" s="376"/>
      <c r="J123" s="376"/>
      <c r="K123" s="376"/>
      <c r="L123" s="376"/>
      <c r="M123" s="376"/>
      <c r="N123" s="376"/>
      <c r="O123" s="376"/>
      <c r="P123" s="376"/>
      <c r="Q123" s="376"/>
      <c r="R123" s="376"/>
      <c r="S123" s="376"/>
      <c r="T123" s="376"/>
      <c r="U123" s="376"/>
      <c r="V123" s="376"/>
      <c r="W123" s="376"/>
      <c r="X123" s="376"/>
      <c r="Y123" s="376"/>
      <c r="Z123" s="376"/>
    </row>
    <row r="124" ht="15.75" customHeight="1" spans="1:26" x14ac:dyDescent="0.25">
      <c r="A124" s="376"/>
      <c r="B124" s="377"/>
      <c r="C124" s="376"/>
      <c r="D124" s="376"/>
      <c r="E124" s="376"/>
      <c r="F124" s="376"/>
      <c r="G124" s="376"/>
      <c r="H124" s="376"/>
      <c r="I124" s="376"/>
      <c r="J124" s="376"/>
      <c r="K124" s="376"/>
      <c r="L124" s="376"/>
      <c r="M124" s="376"/>
      <c r="N124" s="376"/>
      <c r="O124" s="376"/>
      <c r="P124" s="376"/>
      <c r="Q124" s="376"/>
      <c r="R124" s="376"/>
      <c r="S124" s="376"/>
      <c r="T124" s="376"/>
      <c r="U124" s="376"/>
      <c r="V124" s="376"/>
      <c r="W124" s="376"/>
      <c r="X124" s="376"/>
      <c r="Y124" s="376"/>
      <c r="Z124" s="376"/>
    </row>
    <row r="125" ht="15.75" customHeight="1" spans="1:26" x14ac:dyDescent="0.25">
      <c r="A125" s="376"/>
      <c r="B125" s="377"/>
      <c r="C125" s="376"/>
      <c r="D125" s="376"/>
      <c r="E125" s="376"/>
      <c r="F125" s="376"/>
      <c r="G125" s="376"/>
      <c r="H125" s="376"/>
      <c r="I125" s="376"/>
      <c r="J125" s="376"/>
      <c r="K125" s="376"/>
      <c r="L125" s="376"/>
      <c r="M125" s="376"/>
      <c r="N125" s="376"/>
      <c r="O125" s="376"/>
      <c r="P125" s="376"/>
      <c r="Q125" s="376"/>
      <c r="R125" s="376"/>
      <c r="S125" s="376"/>
      <c r="T125" s="376"/>
      <c r="U125" s="376"/>
      <c r="V125" s="376"/>
      <c r="W125" s="376"/>
      <c r="X125" s="376"/>
      <c r="Y125" s="376"/>
      <c r="Z125" s="376"/>
    </row>
    <row r="126" ht="15.75" customHeight="1" spans="1:26" x14ac:dyDescent="0.25">
      <c r="A126" s="376"/>
      <c r="B126" s="377"/>
      <c r="C126" s="376"/>
      <c r="D126" s="376"/>
      <c r="E126" s="376"/>
      <c r="F126" s="376"/>
      <c r="G126" s="376"/>
      <c r="H126" s="376"/>
      <c r="I126" s="376"/>
      <c r="J126" s="376"/>
      <c r="K126" s="376"/>
      <c r="L126" s="376"/>
      <c r="M126" s="376"/>
      <c r="N126" s="376"/>
      <c r="O126" s="376"/>
      <c r="P126" s="376"/>
      <c r="Q126" s="376"/>
      <c r="R126" s="376"/>
      <c r="S126" s="376"/>
      <c r="T126" s="376"/>
      <c r="U126" s="376"/>
      <c r="V126" s="376"/>
      <c r="W126" s="376"/>
      <c r="X126" s="376"/>
      <c r="Y126" s="376"/>
      <c r="Z126" s="376"/>
    </row>
    <row r="127" ht="15.75" customHeight="1" spans="1:26" x14ac:dyDescent="0.25">
      <c r="A127" s="376"/>
      <c r="B127" s="377"/>
      <c r="C127" s="376"/>
      <c r="D127" s="376"/>
      <c r="E127" s="376"/>
      <c r="F127" s="376"/>
      <c r="G127" s="376"/>
      <c r="H127" s="376"/>
      <c r="I127" s="376"/>
      <c r="J127" s="376"/>
      <c r="K127" s="376"/>
      <c r="L127" s="376"/>
      <c r="M127" s="376"/>
      <c r="N127" s="376"/>
      <c r="O127" s="376"/>
      <c r="P127" s="376"/>
      <c r="Q127" s="376"/>
      <c r="R127" s="376"/>
      <c r="S127" s="376"/>
      <c r="T127" s="376"/>
      <c r="U127" s="376"/>
      <c r="V127" s="376"/>
      <c r="W127" s="376"/>
      <c r="X127" s="376"/>
      <c r="Y127" s="376"/>
      <c r="Z127" s="376"/>
    </row>
    <row r="128" ht="15.75" customHeight="1" spans="1:26" x14ac:dyDescent="0.25">
      <c r="A128" s="376"/>
      <c r="B128" s="377"/>
      <c r="C128" s="376"/>
      <c r="D128" s="376"/>
      <c r="E128" s="376"/>
      <c r="F128" s="376"/>
      <c r="G128" s="376"/>
      <c r="H128" s="376"/>
      <c r="I128" s="376"/>
      <c r="J128" s="376"/>
      <c r="K128" s="376"/>
      <c r="L128" s="376"/>
      <c r="M128" s="376"/>
      <c r="N128" s="376"/>
      <c r="O128" s="376"/>
      <c r="P128" s="376"/>
      <c r="Q128" s="376"/>
      <c r="R128" s="376"/>
      <c r="S128" s="376"/>
      <c r="T128" s="376"/>
      <c r="U128" s="376"/>
      <c r="V128" s="376"/>
      <c r="W128" s="376"/>
      <c r="X128" s="376"/>
      <c r="Y128" s="376"/>
      <c r="Z128" s="376"/>
    </row>
    <row r="129" ht="15.75" customHeight="1" spans="1:26" x14ac:dyDescent="0.25">
      <c r="A129" s="376"/>
      <c r="B129" s="377"/>
      <c r="C129" s="376"/>
      <c r="D129" s="376"/>
      <c r="E129" s="376"/>
      <c r="F129" s="376"/>
      <c r="G129" s="376"/>
      <c r="H129" s="376"/>
      <c r="I129" s="376"/>
      <c r="J129" s="376"/>
      <c r="K129" s="376"/>
      <c r="L129" s="376"/>
      <c r="M129" s="376"/>
      <c r="N129" s="376"/>
      <c r="O129" s="376"/>
      <c r="P129" s="376"/>
      <c r="Q129" s="376"/>
      <c r="R129" s="376"/>
      <c r="S129" s="376"/>
      <c r="T129" s="376"/>
      <c r="U129" s="376"/>
      <c r="V129" s="376"/>
      <c r="W129" s="376"/>
      <c r="X129" s="376"/>
      <c r="Y129" s="376"/>
      <c r="Z129" s="376"/>
    </row>
    <row r="130" ht="15.75" customHeight="1" spans="1:26" x14ac:dyDescent="0.25">
      <c r="A130" s="376"/>
      <c r="B130" s="377"/>
      <c r="C130" s="376"/>
      <c r="D130" s="376"/>
      <c r="E130" s="376"/>
      <c r="F130" s="376"/>
      <c r="G130" s="376"/>
      <c r="H130" s="376"/>
      <c r="I130" s="376"/>
      <c r="J130" s="376"/>
      <c r="K130" s="376"/>
      <c r="L130" s="376"/>
      <c r="M130" s="376"/>
      <c r="N130" s="376"/>
      <c r="O130" s="376"/>
      <c r="P130" s="376"/>
      <c r="Q130" s="376"/>
      <c r="R130" s="376"/>
      <c r="S130" s="376"/>
      <c r="T130" s="376"/>
      <c r="U130" s="376"/>
      <c r="V130" s="376"/>
      <c r="W130" s="376"/>
      <c r="X130" s="376"/>
      <c r="Y130" s="376"/>
      <c r="Z130" s="376"/>
    </row>
    <row r="131" ht="15.75" customHeight="1" spans="1:26" x14ac:dyDescent="0.25">
      <c r="A131" s="376"/>
      <c r="B131" s="377"/>
      <c r="C131" s="376"/>
      <c r="D131" s="376"/>
      <c r="E131" s="376"/>
      <c r="F131" s="376"/>
      <c r="G131" s="376"/>
      <c r="H131" s="376"/>
      <c r="I131" s="376"/>
      <c r="J131" s="376"/>
      <c r="K131" s="376"/>
      <c r="L131" s="376"/>
      <c r="M131" s="376"/>
      <c r="N131" s="376"/>
      <c r="O131" s="376"/>
      <c r="P131" s="376"/>
      <c r="Q131" s="376"/>
      <c r="R131" s="376"/>
      <c r="S131" s="376"/>
      <c r="T131" s="376"/>
      <c r="U131" s="376"/>
      <c r="V131" s="376"/>
      <c r="W131" s="376"/>
      <c r="X131" s="376"/>
      <c r="Y131" s="376"/>
      <c r="Z131" s="376"/>
    </row>
    <row r="132" ht="15.75" customHeight="1" spans="1:26" x14ac:dyDescent="0.25">
      <c r="A132" s="376"/>
      <c r="B132" s="377"/>
      <c r="C132" s="376"/>
      <c r="D132" s="376"/>
      <c r="E132" s="376"/>
      <c r="F132" s="376"/>
      <c r="G132" s="376"/>
      <c r="H132" s="376"/>
      <c r="I132" s="376"/>
      <c r="J132" s="376"/>
      <c r="K132" s="376"/>
      <c r="L132" s="376"/>
      <c r="M132" s="376"/>
      <c r="N132" s="376"/>
      <c r="O132" s="376"/>
      <c r="P132" s="376"/>
      <c r="Q132" s="376"/>
      <c r="R132" s="376"/>
      <c r="S132" s="376"/>
      <c r="T132" s="376"/>
      <c r="U132" s="376"/>
      <c r="V132" s="376"/>
      <c r="W132" s="376"/>
      <c r="X132" s="376"/>
      <c r="Y132" s="376"/>
      <c r="Z132" s="376"/>
    </row>
    <row r="133" ht="15.75" customHeight="1" spans="1:26" x14ac:dyDescent="0.25">
      <c r="A133" s="376"/>
      <c r="B133" s="377"/>
      <c r="C133" s="376"/>
      <c r="D133" s="376"/>
      <c r="E133" s="376"/>
      <c r="F133" s="376"/>
      <c r="G133" s="376"/>
      <c r="H133" s="376"/>
      <c r="I133" s="376"/>
      <c r="J133" s="376"/>
      <c r="K133" s="376"/>
      <c r="L133" s="376"/>
      <c r="M133" s="376"/>
      <c r="N133" s="376"/>
      <c r="O133" s="376"/>
      <c r="P133" s="376"/>
      <c r="Q133" s="376"/>
      <c r="R133" s="376"/>
      <c r="S133" s="376"/>
      <c r="T133" s="376"/>
      <c r="U133" s="376"/>
      <c r="V133" s="376"/>
      <c r="W133" s="376"/>
      <c r="X133" s="376"/>
      <c r="Y133" s="376"/>
      <c r="Z133" s="376"/>
    </row>
    <row r="134" ht="15.75" customHeight="1" spans="1:26" x14ac:dyDescent="0.25">
      <c r="A134" s="376"/>
      <c r="B134" s="377"/>
      <c r="C134" s="376"/>
      <c r="D134" s="376"/>
      <c r="E134" s="376"/>
      <c r="F134" s="376"/>
      <c r="G134" s="376"/>
      <c r="H134" s="376"/>
      <c r="I134" s="376"/>
      <c r="J134" s="376"/>
      <c r="K134" s="376"/>
      <c r="L134" s="376"/>
      <c r="M134" s="376"/>
      <c r="N134" s="376"/>
      <c r="O134" s="376"/>
      <c r="P134" s="376"/>
      <c r="Q134" s="376"/>
      <c r="R134" s="376"/>
      <c r="S134" s="376"/>
      <c r="T134" s="376"/>
      <c r="U134" s="376"/>
      <c r="V134" s="376"/>
      <c r="W134" s="376"/>
      <c r="X134" s="376"/>
      <c r="Y134" s="376"/>
      <c r="Z134" s="376"/>
    </row>
    <row r="135" ht="15.75" customHeight="1" spans="1:26" x14ac:dyDescent="0.25">
      <c r="A135" s="376"/>
      <c r="B135" s="377"/>
      <c r="C135" s="376"/>
      <c r="D135" s="376"/>
      <c r="E135" s="376"/>
      <c r="F135" s="376"/>
      <c r="G135" s="376"/>
      <c r="H135" s="376"/>
      <c r="I135" s="376"/>
      <c r="J135" s="376"/>
      <c r="K135" s="376"/>
      <c r="L135" s="376"/>
      <c r="M135" s="376"/>
      <c r="N135" s="376"/>
      <c r="O135" s="376"/>
      <c r="P135" s="376"/>
      <c r="Q135" s="376"/>
      <c r="R135" s="376"/>
      <c r="S135" s="376"/>
      <c r="T135" s="376"/>
      <c r="U135" s="376"/>
      <c r="V135" s="376"/>
      <c r="W135" s="376"/>
      <c r="X135" s="376"/>
      <c r="Y135" s="376"/>
      <c r="Z135" s="376"/>
    </row>
    <row r="136" ht="15.75" customHeight="1" spans="1:26" x14ac:dyDescent="0.25">
      <c r="A136" s="376"/>
      <c r="B136" s="377"/>
      <c r="C136" s="376"/>
      <c r="D136" s="376"/>
      <c r="E136" s="376"/>
      <c r="F136" s="376"/>
      <c r="G136" s="376"/>
      <c r="H136" s="376"/>
      <c r="I136" s="376"/>
      <c r="J136" s="376"/>
      <c r="K136" s="376"/>
      <c r="L136" s="376"/>
      <c r="M136" s="376"/>
      <c r="N136" s="376"/>
      <c r="O136" s="376"/>
      <c r="P136" s="376"/>
      <c r="Q136" s="376"/>
      <c r="R136" s="376"/>
      <c r="S136" s="376"/>
      <c r="T136" s="376"/>
      <c r="U136" s="376"/>
      <c r="V136" s="376"/>
      <c r="W136" s="376"/>
      <c r="X136" s="376"/>
      <c r="Y136" s="376"/>
      <c r="Z136" s="376"/>
    </row>
    <row r="137" ht="15.75" customHeight="1" spans="1:26" x14ac:dyDescent="0.25">
      <c r="A137" s="376"/>
      <c r="B137" s="377"/>
      <c r="C137" s="376"/>
      <c r="D137" s="376"/>
      <c r="E137" s="376"/>
      <c r="F137" s="376"/>
      <c r="G137" s="376"/>
      <c r="H137" s="376"/>
      <c r="I137" s="376"/>
      <c r="J137" s="376"/>
      <c r="K137" s="376"/>
      <c r="L137" s="376"/>
      <c r="M137" s="376"/>
      <c r="N137" s="376"/>
      <c r="O137" s="376"/>
      <c r="P137" s="376"/>
      <c r="Q137" s="376"/>
      <c r="R137" s="376"/>
      <c r="S137" s="376"/>
      <c r="T137" s="376"/>
      <c r="U137" s="376"/>
      <c r="V137" s="376"/>
      <c r="W137" s="376"/>
      <c r="X137" s="376"/>
      <c r="Y137" s="376"/>
      <c r="Z137" s="376"/>
    </row>
    <row r="138" ht="15.75" customHeight="1" spans="1:26" x14ac:dyDescent="0.25">
      <c r="A138" s="376"/>
      <c r="B138" s="377"/>
      <c r="C138" s="376"/>
      <c r="D138" s="376"/>
      <c r="E138" s="376"/>
      <c r="F138" s="376"/>
      <c r="G138" s="376"/>
      <c r="H138" s="376"/>
      <c r="I138" s="376"/>
      <c r="J138" s="376"/>
      <c r="K138" s="376"/>
      <c r="L138" s="376"/>
      <c r="M138" s="376"/>
      <c r="N138" s="376"/>
      <c r="O138" s="376"/>
      <c r="P138" s="376"/>
      <c r="Q138" s="376"/>
      <c r="R138" s="376"/>
      <c r="S138" s="376"/>
      <c r="T138" s="376"/>
      <c r="U138" s="376"/>
      <c r="V138" s="376"/>
      <c r="W138" s="376"/>
      <c r="X138" s="376"/>
      <c r="Y138" s="376"/>
      <c r="Z138" s="376"/>
    </row>
    <row r="139" ht="15.75" customHeight="1" spans="1:26" x14ac:dyDescent="0.25">
      <c r="A139" s="376"/>
      <c r="B139" s="377"/>
      <c r="C139" s="376"/>
      <c r="D139" s="376"/>
      <c r="E139" s="376"/>
      <c r="F139" s="376"/>
      <c r="G139" s="376"/>
      <c r="H139" s="376"/>
      <c r="I139" s="376"/>
      <c r="J139" s="376"/>
      <c r="K139" s="376"/>
      <c r="L139" s="376"/>
      <c r="M139" s="376"/>
      <c r="N139" s="376"/>
      <c r="O139" s="376"/>
      <c r="P139" s="376"/>
      <c r="Q139" s="376"/>
      <c r="R139" s="376"/>
      <c r="S139" s="376"/>
      <c r="T139" s="376"/>
      <c r="U139" s="376"/>
      <c r="V139" s="376"/>
      <c r="W139" s="376"/>
      <c r="X139" s="376"/>
      <c r="Y139" s="376"/>
      <c r="Z139" s="376"/>
    </row>
    <row r="140" ht="15.75" customHeight="1" spans="1:26" x14ac:dyDescent="0.25">
      <c r="A140" s="376"/>
      <c r="B140" s="377"/>
      <c r="C140" s="376"/>
      <c r="D140" s="376"/>
      <c r="E140" s="376"/>
      <c r="F140" s="376"/>
      <c r="G140" s="376"/>
      <c r="H140" s="376"/>
      <c r="I140" s="376"/>
      <c r="J140" s="376"/>
      <c r="K140" s="376"/>
      <c r="L140" s="376"/>
      <c r="M140" s="376"/>
      <c r="N140" s="376"/>
      <c r="O140" s="376"/>
      <c r="P140" s="376"/>
      <c r="Q140" s="376"/>
      <c r="R140" s="376"/>
      <c r="S140" s="376"/>
      <c r="T140" s="376"/>
      <c r="U140" s="376"/>
      <c r="V140" s="376"/>
      <c r="W140" s="376"/>
      <c r="X140" s="376"/>
      <c r="Y140" s="376"/>
      <c r="Z140" s="376"/>
    </row>
    <row r="141" ht="15.75" customHeight="1" spans="1:26" x14ac:dyDescent="0.25">
      <c r="A141" s="376"/>
      <c r="B141" s="377"/>
      <c r="C141" s="376"/>
      <c r="D141" s="376"/>
      <c r="E141" s="376"/>
      <c r="F141" s="376"/>
      <c r="G141" s="376"/>
      <c r="H141" s="376"/>
      <c r="I141" s="376"/>
      <c r="J141" s="376"/>
      <c r="K141" s="376"/>
      <c r="L141" s="376"/>
      <c r="M141" s="376"/>
      <c r="N141" s="376"/>
      <c r="O141" s="376"/>
      <c r="P141" s="376"/>
      <c r="Q141" s="376"/>
      <c r="R141" s="376"/>
      <c r="S141" s="376"/>
      <c r="T141" s="376"/>
      <c r="U141" s="376"/>
      <c r="V141" s="376"/>
      <c r="W141" s="376"/>
      <c r="X141" s="376"/>
      <c r="Y141" s="376"/>
      <c r="Z141" s="376"/>
    </row>
    <row r="142" ht="15.75" customHeight="1" spans="1:26" x14ac:dyDescent="0.25">
      <c r="A142" s="376"/>
      <c r="B142" s="377"/>
      <c r="C142" s="376"/>
      <c r="D142" s="376"/>
      <c r="E142" s="376"/>
      <c r="F142" s="376"/>
      <c r="G142" s="376"/>
      <c r="H142" s="376"/>
      <c r="I142" s="376"/>
      <c r="J142" s="376"/>
      <c r="K142" s="376"/>
      <c r="L142" s="376"/>
      <c r="M142" s="376"/>
      <c r="N142" s="376"/>
      <c r="O142" s="376"/>
      <c r="P142" s="376"/>
      <c r="Q142" s="376"/>
      <c r="R142" s="376"/>
      <c r="S142" s="376"/>
      <c r="T142" s="376"/>
      <c r="U142" s="376"/>
      <c r="V142" s="376"/>
      <c r="W142" s="376"/>
      <c r="X142" s="376"/>
      <c r="Y142" s="376"/>
      <c r="Z142" s="376"/>
    </row>
    <row r="143" ht="15.75" customHeight="1" spans="1:26" x14ac:dyDescent="0.25">
      <c r="A143" s="376"/>
      <c r="B143" s="377"/>
      <c r="C143" s="376"/>
      <c r="D143" s="376"/>
      <c r="E143" s="376"/>
      <c r="F143" s="376"/>
      <c r="G143" s="376"/>
      <c r="H143" s="376"/>
      <c r="I143" s="376"/>
      <c r="J143" s="376"/>
      <c r="K143" s="376"/>
      <c r="L143" s="376"/>
      <c r="M143" s="376"/>
      <c r="N143" s="376"/>
      <c r="O143" s="376"/>
      <c r="P143" s="376"/>
      <c r="Q143" s="376"/>
      <c r="R143" s="376"/>
      <c r="S143" s="376"/>
      <c r="T143" s="376"/>
      <c r="U143" s="376"/>
      <c r="V143" s="376"/>
      <c r="W143" s="376"/>
      <c r="X143" s="376"/>
      <c r="Y143" s="376"/>
      <c r="Z143" s="376"/>
    </row>
    <row r="144" ht="15.75" customHeight="1" spans="1:26" x14ac:dyDescent="0.25">
      <c r="A144" s="376"/>
      <c r="B144" s="377"/>
      <c r="C144" s="376"/>
      <c r="D144" s="376"/>
      <c r="E144" s="376"/>
      <c r="F144" s="376"/>
      <c r="G144" s="376"/>
      <c r="H144" s="376"/>
      <c r="I144" s="376"/>
      <c r="J144" s="376"/>
      <c r="K144" s="376"/>
      <c r="L144" s="376"/>
      <c r="M144" s="376"/>
      <c r="N144" s="376"/>
      <c r="O144" s="376"/>
      <c r="P144" s="376"/>
      <c r="Q144" s="376"/>
      <c r="R144" s="376"/>
      <c r="S144" s="376"/>
      <c r="T144" s="376"/>
      <c r="U144" s="376"/>
      <c r="V144" s="376"/>
      <c r="W144" s="376"/>
      <c r="X144" s="376"/>
      <c r="Y144" s="376"/>
      <c r="Z144" s="376"/>
    </row>
    <row r="145" ht="15.75" customHeight="1" spans="1:26" x14ac:dyDescent="0.25">
      <c r="A145" s="376"/>
      <c r="B145" s="377"/>
      <c r="C145" s="376"/>
      <c r="D145" s="376"/>
      <c r="E145" s="376"/>
      <c r="F145" s="376"/>
      <c r="G145" s="376"/>
      <c r="H145" s="376"/>
      <c r="I145" s="376"/>
      <c r="J145" s="376"/>
      <c r="K145" s="376"/>
      <c r="L145" s="376"/>
      <c r="M145" s="376"/>
      <c r="N145" s="376"/>
      <c r="O145" s="376"/>
      <c r="P145" s="376"/>
      <c r="Q145" s="376"/>
      <c r="R145" s="376"/>
      <c r="S145" s="376"/>
      <c r="T145" s="376"/>
      <c r="U145" s="376"/>
      <c r="V145" s="376"/>
      <c r="W145" s="376"/>
      <c r="X145" s="376"/>
      <c r="Y145" s="376"/>
      <c r="Z145" s="376"/>
    </row>
    <row r="146" ht="15.75" customHeight="1" spans="1:26" x14ac:dyDescent="0.25">
      <c r="A146" s="376"/>
      <c r="B146" s="377"/>
      <c r="C146" s="376"/>
      <c r="D146" s="376"/>
      <c r="E146" s="376"/>
      <c r="F146" s="376"/>
      <c r="G146" s="376"/>
      <c r="H146" s="376"/>
      <c r="I146" s="376"/>
      <c r="J146" s="376"/>
      <c r="K146" s="376"/>
      <c r="L146" s="376"/>
      <c r="M146" s="376"/>
      <c r="N146" s="376"/>
      <c r="O146" s="376"/>
      <c r="P146" s="376"/>
      <c r="Q146" s="376"/>
      <c r="R146" s="376"/>
      <c r="S146" s="376"/>
      <c r="T146" s="376"/>
      <c r="U146" s="376"/>
      <c r="V146" s="376"/>
      <c r="W146" s="376"/>
      <c r="X146" s="376"/>
      <c r="Y146" s="376"/>
      <c r="Z146" s="376"/>
    </row>
    <row r="147" ht="15.75" customHeight="1" spans="1:26" x14ac:dyDescent="0.25">
      <c r="A147" s="376"/>
      <c r="B147" s="377"/>
      <c r="C147" s="376"/>
      <c r="D147" s="376"/>
      <c r="E147" s="376"/>
      <c r="F147" s="376"/>
      <c r="G147" s="376"/>
      <c r="H147" s="376"/>
      <c r="I147" s="376"/>
      <c r="J147" s="376"/>
      <c r="K147" s="376"/>
      <c r="L147" s="376"/>
      <c r="M147" s="376"/>
      <c r="N147" s="376"/>
      <c r="O147" s="376"/>
      <c r="P147" s="376"/>
      <c r="Q147" s="376"/>
      <c r="R147" s="376"/>
      <c r="S147" s="376"/>
      <c r="T147" s="376"/>
      <c r="U147" s="376"/>
      <c r="V147" s="376"/>
      <c r="W147" s="376"/>
      <c r="X147" s="376"/>
      <c r="Y147" s="376"/>
      <c r="Z147" s="376"/>
    </row>
    <row r="148" ht="15.75" customHeight="1" spans="1:26" x14ac:dyDescent="0.25">
      <c r="A148" s="376"/>
      <c r="B148" s="377"/>
      <c r="C148" s="376"/>
      <c r="D148" s="376"/>
      <c r="E148" s="376"/>
      <c r="F148" s="376"/>
      <c r="G148" s="376"/>
      <c r="H148" s="376"/>
      <c r="I148" s="376"/>
      <c r="J148" s="376"/>
      <c r="K148" s="376"/>
      <c r="L148" s="376"/>
      <c r="M148" s="376"/>
      <c r="N148" s="376"/>
      <c r="O148" s="376"/>
      <c r="P148" s="376"/>
      <c r="Q148" s="376"/>
      <c r="R148" s="376"/>
      <c r="S148" s="376"/>
      <c r="T148" s="376"/>
      <c r="U148" s="376"/>
      <c r="V148" s="376"/>
      <c r="W148" s="376"/>
      <c r="X148" s="376"/>
      <c r="Y148" s="376"/>
      <c r="Z148" s="376"/>
    </row>
    <row r="149" ht="15.75" customHeight="1" spans="1:26" x14ac:dyDescent="0.25">
      <c r="A149" s="376"/>
      <c r="B149" s="377"/>
      <c r="C149" s="376"/>
      <c r="D149" s="376"/>
      <c r="E149" s="376"/>
      <c r="F149" s="376"/>
      <c r="G149" s="376"/>
      <c r="H149" s="376"/>
      <c r="I149" s="376"/>
      <c r="J149" s="376"/>
      <c r="K149" s="376"/>
      <c r="L149" s="376"/>
      <c r="M149" s="376"/>
      <c r="N149" s="376"/>
      <c r="O149" s="376"/>
      <c r="P149" s="376"/>
      <c r="Q149" s="376"/>
      <c r="R149" s="376"/>
      <c r="S149" s="376"/>
      <c r="T149" s="376"/>
      <c r="U149" s="376"/>
      <c r="V149" s="376"/>
      <c r="W149" s="376"/>
      <c r="X149" s="376"/>
      <c r="Y149" s="376"/>
      <c r="Z149" s="376"/>
    </row>
    <row r="150" ht="15.75" customHeight="1" spans="1:26" x14ac:dyDescent="0.25">
      <c r="A150" s="376"/>
      <c r="B150" s="377"/>
      <c r="C150" s="376"/>
      <c r="D150" s="376"/>
      <c r="E150" s="376"/>
      <c r="F150" s="376"/>
      <c r="G150" s="376"/>
      <c r="H150" s="376"/>
      <c r="I150" s="376"/>
      <c r="J150" s="376"/>
      <c r="K150" s="376"/>
      <c r="L150" s="376"/>
      <c r="M150" s="376"/>
      <c r="N150" s="376"/>
      <c r="O150" s="376"/>
      <c r="P150" s="376"/>
      <c r="Q150" s="376"/>
      <c r="R150" s="376"/>
      <c r="S150" s="376"/>
      <c r="T150" s="376"/>
      <c r="U150" s="376"/>
      <c r="V150" s="376"/>
      <c r="W150" s="376"/>
      <c r="X150" s="376"/>
      <c r="Y150" s="376"/>
      <c r="Z150" s="376"/>
    </row>
    <row r="151" ht="15.75" customHeight="1" spans="1:26" x14ac:dyDescent="0.25">
      <c r="A151" s="376"/>
      <c r="B151" s="377"/>
      <c r="C151" s="376"/>
      <c r="D151" s="376"/>
      <c r="E151" s="376"/>
      <c r="F151" s="376"/>
      <c r="G151" s="376"/>
      <c r="H151" s="376"/>
      <c r="I151" s="376"/>
      <c r="J151" s="376"/>
      <c r="K151" s="376"/>
      <c r="L151" s="376"/>
      <c r="M151" s="376"/>
      <c r="N151" s="376"/>
      <c r="O151" s="376"/>
      <c r="P151" s="376"/>
      <c r="Q151" s="376"/>
      <c r="R151" s="376"/>
      <c r="S151" s="376"/>
      <c r="T151" s="376"/>
      <c r="U151" s="376"/>
      <c r="V151" s="376"/>
      <c r="W151" s="376"/>
      <c r="X151" s="376"/>
      <c r="Y151" s="376"/>
      <c r="Z151" s="376"/>
    </row>
    <row r="152" ht="15.75" customHeight="1" spans="1:26" x14ac:dyDescent="0.25">
      <c r="A152" s="376"/>
      <c r="B152" s="377"/>
      <c r="C152" s="376"/>
      <c r="D152" s="376"/>
      <c r="E152" s="376"/>
      <c r="F152" s="376"/>
      <c r="G152" s="376"/>
      <c r="H152" s="376"/>
      <c r="I152" s="376"/>
      <c r="J152" s="376"/>
      <c r="K152" s="376"/>
      <c r="L152" s="376"/>
      <c r="M152" s="376"/>
      <c r="N152" s="376"/>
      <c r="O152" s="376"/>
      <c r="P152" s="376"/>
      <c r="Q152" s="376"/>
      <c r="R152" s="376"/>
      <c r="S152" s="376"/>
      <c r="T152" s="376"/>
      <c r="U152" s="376"/>
      <c r="V152" s="376"/>
      <c r="W152" s="376"/>
      <c r="X152" s="376"/>
      <c r="Y152" s="376"/>
      <c r="Z152" s="376"/>
    </row>
    <row r="153" ht="15.75" customHeight="1" spans="1:26" x14ac:dyDescent="0.25">
      <c r="A153" s="376"/>
      <c r="B153" s="377"/>
      <c r="C153" s="376"/>
      <c r="D153" s="376"/>
      <c r="E153" s="376"/>
      <c r="F153" s="376"/>
      <c r="G153" s="376"/>
      <c r="H153" s="376"/>
      <c r="I153" s="376"/>
      <c r="J153" s="376"/>
      <c r="K153" s="376"/>
      <c r="L153" s="376"/>
      <c r="M153" s="376"/>
      <c r="N153" s="376"/>
      <c r="O153" s="376"/>
      <c r="P153" s="376"/>
      <c r="Q153" s="376"/>
      <c r="R153" s="376"/>
      <c r="S153" s="376"/>
      <c r="T153" s="376"/>
      <c r="U153" s="376"/>
      <c r="V153" s="376"/>
      <c r="W153" s="376"/>
      <c r="X153" s="376"/>
      <c r="Y153" s="376"/>
      <c r="Z153" s="376"/>
    </row>
    <row r="154" ht="15.75" customHeight="1" spans="1:26" x14ac:dyDescent="0.25">
      <c r="A154" s="376"/>
      <c r="B154" s="377"/>
      <c r="C154" s="376"/>
      <c r="D154" s="376"/>
      <c r="E154" s="376"/>
      <c r="F154" s="376"/>
      <c r="G154" s="376"/>
      <c r="H154" s="376"/>
      <c r="I154" s="376"/>
      <c r="J154" s="376"/>
      <c r="K154" s="376"/>
      <c r="L154" s="376"/>
      <c r="M154" s="376"/>
      <c r="N154" s="376"/>
      <c r="O154" s="376"/>
      <c r="P154" s="376"/>
      <c r="Q154" s="376"/>
      <c r="R154" s="376"/>
      <c r="S154" s="376"/>
      <c r="T154" s="376"/>
      <c r="U154" s="376"/>
      <c r="V154" s="376"/>
      <c r="W154" s="376"/>
      <c r="X154" s="376"/>
      <c r="Y154" s="376"/>
      <c r="Z154" s="376"/>
    </row>
    <row r="155" ht="15.75" customHeight="1" spans="1:26" x14ac:dyDescent="0.25">
      <c r="A155" s="376"/>
      <c r="B155" s="377"/>
      <c r="C155" s="376"/>
      <c r="D155" s="376"/>
      <c r="E155" s="376"/>
      <c r="F155" s="376"/>
      <c r="G155" s="376"/>
      <c r="H155" s="376"/>
      <c r="I155" s="376"/>
      <c r="J155" s="376"/>
      <c r="K155" s="376"/>
      <c r="L155" s="376"/>
      <c r="M155" s="376"/>
      <c r="N155" s="376"/>
      <c r="O155" s="376"/>
      <c r="P155" s="376"/>
      <c r="Q155" s="376"/>
      <c r="R155" s="376"/>
      <c r="S155" s="376"/>
      <c r="T155" s="376"/>
      <c r="U155" s="376"/>
      <c r="V155" s="376"/>
      <c r="W155" s="376"/>
      <c r="X155" s="376"/>
      <c r="Y155" s="376"/>
      <c r="Z155" s="376"/>
    </row>
    <row r="156" ht="15.75" customHeight="1" spans="1:26" x14ac:dyDescent="0.25">
      <c r="A156" s="376"/>
      <c r="B156" s="377"/>
      <c r="C156" s="376"/>
      <c r="D156" s="376"/>
      <c r="E156" s="376"/>
      <c r="F156" s="376"/>
      <c r="G156" s="376"/>
      <c r="H156" s="376"/>
      <c r="I156" s="376"/>
      <c r="J156" s="376"/>
      <c r="K156" s="376"/>
      <c r="L156" s="376"/>
      <c r="M156" s="376"/>
      <c r="N156" s="376"/>
      <c r="O156" s="376"/>
      <c r="P156" s="376"/>
      <c r="Q156" s="376"/>
      <c r="R156" s="376"/>
      <c r="S156" s="376"/>
      <c r="T156" s="376"/>
      <c r="U156" s="376"/>
      <c r="V156" s="376"/>
      <c r="W156" s="376"/>
      <c r="X156" s="376"/>
      <c r="Y156" s="376"/>
      <c r="Z156" s="376"/>
    </row>
    <row r="157" ht="15.75" customHeight="1" spans="1:26" x14ac:dyDescent="0.25">
      <c r="A157" s="376"/>
      <c r="B157" s="377"/>
      <c r="C157" s="376"/>
      <c r="D157" s="376"/>
      <c r="E157" s="376"/>
      <c r="F157" s="376"/>
      <c r="G157" s="376"/>
      <c r="H157" s="376"/>
      <c r="I157" s="376"/>
      <c r="J157" s="376"/>
      <c r="K157" s="376"/>
      <c r="L157" s="376"/>
      <c r="M157" s="376"/>
      <c r="N157" s="376"/>
      <c r="O157" s="376"/>
      <c r="P157" s="376"/>
      <c r="Q157" s="376"/>
      <c r="R157" s="376"/>
      <c r="S157" s="376"/>
      <c r="T157" s="376"/>
      <c r="U157" s="376"/>
      <c r="V157" s="376"/>
      <c r="W157" s="376"/>
      <c r="X157" s="376"/>
      <c r="Y157" s="376"/>
      <c r="Z157" s="376"/>
    </row>
    <row r="158" ht="15.75" customHeight="1" spans="1:26" x14ac:dyDescent="0.25">
      <c r="A158" s="376"/>
      <c r="B158" s="377"/>
      <c r="C158" s="376"/>
      <c r="D158" s="376"/>
      <c r="E158" s="376"/>
      <c r="F158" s="376"/>
      <c r="G158" s="376"/>
      <c r="H158" s="376"/>
      <c r="I158" s="376"/>
      <c r="J158" s="376"/>
      <c r="K158" s="376"/>
      <c r="L158" s="376"/>
      <c r="M158" s="376"/>
      <c r="N158" s="376"/>
      <c r="O158" s="376"/>
      <c r="P158" s="376"/>
      <c r="Q158" s="376"/>
      <c r="R158" s="376"/>
      <c r="S158" s="376"/>
      <c r="T158" s="376"/>
      <c r="U158" s="376"/>
      <c r="V158" s="376"/>
      <c r="W158" s="376"/>
      <c r="X158" s="376"/>
      <c r="Y158" s="376"/>
      <c r="Z158" s="376"/>
    </row>
    <row r="159" ht="15.75" customHeight="1" spans="1:26" x14ac:dyDescent="0.25">
      <c r="A159" s="376"/>
      <c r="B159" s="377"/>
      <c r="C159" s="376"/>
      <c r="D159" s="376"/>
      <c r="E159" s="376"/>
      <c r="F159" s="376"/>
      <c r="G159" s="376"/>
      <c r="H159" s="376"/>
      <c r="I159" s="376"/>
      <c r="J159" s="376"/>
      <c r="K159" s="376"/>
      <c r="L159" s="376"/>
      <c r="M159" s="376"/>
      <c r="N159" s="376"/>
      <c r="O159" s="376"/>
      <c r="P159" s="376"/>
      <c r="Q159" s="376"/>
      <c r="R159" s="376"/>
      <c r="S159" s="376"/>
      <c r="T159" s="376"/>
      <c r="U159" s="376"/>
      <c r="V159" s="376"/>
      <c r="W159" s="376"/>
      <c r="X159" s="376"/>
      <c r="Y159" s="376"/>
      <c r="Z159" s="376"/>
    </row>
    <row r="160" ht="15.75" customHeight="1" spans="1:26" x14ac:dyDescent="0.25">
      <c r="A160" s="376"/>
      <c r="B160" s="377"/>
      <c r="C160" s="376"/>
      <c r="D160" s="376"/>
      <c r="E160" s="376"/>
      <c r="F160" s="376"/>
      <c r="G160" s="376"/>
      <c r="H160" s="376"/>
      <c r="I160" s="376"/>
      <c r="J160" s="376"/>
      <c r="K160" s="376"/>
      <c r="L160" s="376"/>
      <c r="M160" s="376"/>
      <c r="N160" s="376"/>
      <c r="O160" s="376"/>
      <c r="P160" s="376"/>
      <c r="Q160" s="376"/>
      <c r="R160" s="376"/>
      <c r="S160" s="376"/>
      <c r="T160" s="376"/>
      <c r="U160" s="376"/>
      <c r="V160" s="376"/>
      <c r="W160" s="376"/>
      <c r="X160" s="376"/>
      <c r="Y160" s="376"/>
      <c r="Z160" s="376"/>
    </row>
    <row r="161" ht="15.75" customHeight="1" spans="1:26" x14ac:dyDescent="0.25">
      <c r="A161" s="376"/>
      <c r="B161" s="377"/>
      <c r="C161" s="376"/>
      <c r="D161" s="376"/>
      <c r="E161" s="376"/>
      <c r="F161" s="376"/>
      <c r="G161" s="376"/>
      <c r="H161" s="376"/>
      <c r="I161" s="376"/>
      <c r="J161" s="376"/>
      <c r="K161" s="376"/>
      <c r="L161" s="376"/>
      <c r="M161" s="376"/>
      <c r="N161" s="376"/>
      <c r="O161" s="376"/>
      <c r="P161" s="376"/>
      <c r="Q161" s="376"/>
      <c r="R161" s="376"/>
      <c r="S161" s="376"/>
      <c r="T161" s="376"/>
      <c r="U161" s="376"/>
      <c r="V161" s="376"/>
      <c r="W161" s="376"/>
      <c r="X161" s="376"/>
      <c r="Y161" s="376"/>
      <c r="Z161" s="376"/>
    </row>
    <row r="162" ht="15.75" customHeight="1" spans="1:26" x14ac:dyDescent="0.25">
      <c r="A162" s="376"/>
      <c r="B162" s="377"/>
      <c r="C162" s="376"/>
      <c r="D162" s="376"/>
      <c r="E162" s="376"/>
      <c r="F162" s="376"/>
      <c r="G162" s="376"/>
      <c r="H162" s="376"/>
      <c r="I162" s="376"/>
      <c r="J162" s="376"/>
      <c r="K162" s="376"/>
      <c r="L162" s="376"/>
      <c r="M162" s="376"/>
      <c r="N162" s="376"/>
      <c r="O162" s="376"/>
      <c r="P162" s="376"/>
      <c r="Q162" s="376"/>
      <c r="R162" s="376"/>
      <c r="S162" s="376"/>
      <c r="T162" s="376"/>
      <c r="U162" s="376"/>
      <c r="V162" s="376"/>
      <c r="W162" s="376"/>
      <c r="X162" s="376"/>
      <c r="Y162" s="376"/>
      <c r="Z162" s="376"/>
    </row>
    <row r="163" ht="15.75" customHeight="1" spans="1:26" x14ac:dyDescent="0.25">
      <c r="A163" s="376"/>
      <c r="B163" s="377"/>
      <c r="C163" s="376"/>
      <c r="D163" s="376"/>
      <c r="E163" s="376"/>
      <c r="F163" s="376"/>
      <c r="G163" s="376"/>
      <c r="H163" s="376"/>
      <c r="I163" s="376"/>
      <c r="J163" s="376"/>
      <c r="K163" s="376"/>
      <c r="L163" s="376"/>
      <c r="M163" s="376"/>
      <c r="N163" s="376"/>
      <c r="O163" s="376"/>
      <c r="P163" s="376"/>
      <c r="Q163" s="376"/>
      <c r="R163" s="376"/>
      <c r="S163" s="376"/>
      <c r="T163" s="376"/>
      <c r="U163" s="376"/>
      <c r="V163" s="376"/>
      <c r="W163" s="376"/>
      <c r="X163" s="376"/>
      <c r="Y163" s="376"/>
      <c r="Z163" s="376"/>
    </row>
    <row r="164" ht="15.75" customHeight="1" spans="1:26" x14ac:dyDescent="0.25">
      <c r="A164" s="376"/>
      <c r="B164" s="377"/>
      <c r="C164" s="376"/>
      <c r="D164" s="376"/>
      <c r="E164" s="376"/>
      <c r="F164" s="376"/>
      <c r="G164" s="376"/>
      <c r="H164" s="376"/>
      <c r="I164" s="376"/>
      <c r="J164" s="376"/>
      <c r="K164" s="376"/>
      <c r="L164" s="376"/>
      <c r="M164" s="376"/>
      <c r="N164" s="376"/>
      <c r="O164" s="376"/>
      <c r="P164" s="376"/>
      <c r="Q164" s="376"/>
      <c r="R164" s="376"/>
      <c r="S164" s="376"/>
      <c r="T164" s="376"/>
      <c r="U164" s="376"/>
      <c r="V164" s="376"/>
      <c r="W164" s="376"/>
      <c r="X164" s="376"/>
      <c r="Y164" s="376"/>
      <c r="Z164" s="376"/>
    </row>
    <row r="165" ht="15.75" customHeight="1" spans="1:26" x14ac:dyDescent="0.25">
      <c r="A165" s="376"/>
      <c r="B165" s="377"/>
      <c r="C165" s="376"/>
      <c r="D165" s="376"/>
      <c r="E165" s="376"/>
      <c r="F165" s="376"/>
      <c r="G165" s="376"/>
      <c r="H165" s="376"/>
      <c r="I165" s="376"/>
      <c r="J165" s="376"/>
      <c r="K165" s="376"/>
      <c r="L165" s="376"/>
      <c r="M165" s="376"/>
      <c r="N165" s="376"/>
      <c r="O165" s="376"/>
      <c r="P165" s="376"/>
      <c r="Q165" s="376"/>
      <c r="R165" s="376"/>
      <c r="S165" s="376"/>
      <c r="T165" s="376"/>
      <c r="U165" s="376"/>
      <c r="V165" s="376"/>
      <c r="W165" s="376"/>
      <c r="X165" s="376"/>
      <c r="Y165" s="376"/>
      <c r="Z165" s="376"/>
    </row>
    <row r="166" ht="15.75" customHeight="1" spans="1:26" x14ac:dyDescent="0.25">
      <c r="A166" s="376"/>
      <c r="B166" s="377"/>
      <c r="C166" s="376"/>
      <c r="D166" s="376"/>
      <c r="E166" s="376"/>
      <c r="F166" s="376"/>
      <c r="G166" s="376"/>
      <c r="H166" s="376"/>
      <c r="I166" s="376"/>
      <c r="J166" s="376"/>
      <c r="K166" s="376"/>
      <c r="L166" s="376"/>
      <c r="M166" s="376"/>
      <c r="N166" s="376"/>
      <c r="O166" s="376"/>
      <c r="P166" s="376"/>
      <c r="Q166" s="376"/>
      <c r="R166" s="376"/>
      <c r="S166" s="376"/>
      <c r="T166" s="376"/>
      <c r="U166" s="376"/>
      <c r="V166" s="376"/>
      <c r="W166" s="376"/>
      <c r="X166" s="376"/>
      <c r="Y166" s="376"/>
      <c r="Z166" s="376"/>
    </row>
    <row r="167" ht="15.75" customHeight="1" spans="1:26" x14ac:dyDescent="0.25">
      <c r="A167" s="376"/>
      <c r="B167" s="377"/>
      <c r="C167" s="376"/>
      <c r="D167" s="376"/>
      <c r="E167" s="376"/>
      <c r="F167" s="376"/>
      <c r="G167" s="376"/>
      <c r="H167" s="376"/>
      <c r="I167" s="376"/>
      <c r="J167" s="376"/>
      <c r="K167" s="376"/>
      <c r="L167" s="376"/>
      <c r="M167" s="376"/>
      <c r="N167" s="376"/>
      <c r="O167" s="376"/>
      <c r="P167" s="376"/>
      <c r="Q167" s="376"/>
      <c r="R167" s="376"/>
      <c r="S167" s="376"/>
      <c r="T167" s="376"/>
      <c r="U167" s="376"/>
      <c r="V167" s="376"/>
      <c r="W167" s="376"/>
      <c r="X167" s="376"/>
      <c r="Y167" s="376"/>
      <c r="Z167" s="376"/>
    </row>
    <row r="168" ht="15.75" customHeight="1" spans="1:26" x14ac:dyDescent="0.25">
      <c r="A168" s="376"/>
      <c r="B168" s="377"/>
      <c r="C168" s="376"/>
      <c r="D168" s="376"/>
      <c r="E168" s="376"/>
      <c r="F168" s="376"/>
      <c r="G168" s="376"/>
      <c r="H168" s="376"/>
      <c r="I168" s="376"/>
      <c r="J168" s="376"/>
      <c r="K168" s="376"/>
      <c r="L168" s="376"/>
      <c r="M168" s="376"/>
      <c r="N168" s="376"/>
      <c r="O168" s="376"/>
      <c r="P168" s="376"/>
      <c r="Q168" s="376"/>
      <c r="R168" s="376"/>
      <c r="S168" s="376"/>
      <c r="T168" s="376"/>
      <c r="U168" s="376"/>
      <c r="V168" s="376"/>
      <c r="W168" s="376"/>
      <c r="X168" s="376"/>
      <c r="Y168" s="376"/>
      <c r="Z168" s="376"/>
    </row>
    <row r="169" ht="15.75" customHeight="1" spans="1:26" x14ac:dyDescent="0.25">
      <c r="A169" s="376"/>
      <c r="B169" s="377"/>
      <c r="C169" s="376"/>
      <c r="D169" s="376"/>
      <c r="E169" s="376"/>
      <c r="F169" s="376"/>
      <c r="G169" s="376"/>
      <c r="H169" s="376"/>
      <c r="I169" s="376"/>
      <c r="J169" s="376"/>
      <c r="K169" s="376"/>
      <c r="L169" s="376"/>
      <c r="M169" s="376"/>
      <c r="N169" s="376"/>
      <c r="O169" s="376"/>
      <c r="P169" s="376"/>
      <c r="Q169" s="376"/>
      <c r="R169" s="376"/>
      <c r="S169" s="376"/>
      <c r="T169" s="376"/>
      <c r="U169" s="376"/>
      <c r="V169" s="376"/>
      <c r="W169" s="376"/>
      <c r="X169" s="376"/>
      <c r="Y169" s="376"/>
      <c r="Z169" s="376"/>
    </row>
    <row r="170" ht="15.75" customHeight="1" spans="1:26" x14ac:dyDescent="0.25">
      <c r="A170" s="376"/>
      <c r="B170" s="377"/>
      <c r="C170" s="376"/>
      <c r="D170" s="376"/>
      <c r="E170" s="376"/>
      <c r="F170" s="376"/>
      <c r="G170" s="376"/>
      <c r="H170" s="376"/>
      <c r="I170" s="376"/>
      <c r="J170" s="376"/>
      <c r="K170" s="376"/>
      <c r="L170" s="376"/>
      <c r="M170" s="376"/>
      <c r="N170" s="376"/>
      <c r="O170" s="376"/>
      <c r="P170" s="376"/>
      <c r="Q170" s="376"/>
      <c r="R170" s="376"/>
      <c r="S170" s="376"/>
      <c r="T170" s="376"/>
      <c r="U170" s="376"/>
      <c r="V170" s="376"/>
      <c r="W170" s="376"/>
      <c r="X170" s="376"/>
      <c r="Y170" s="376"/>
      <c r="Z170" s="376"/>
    </row>
    <row r="171" ht="15.75" customHeight="1" spans="1:26" x14ac:dyDescent="0.25">
      <c r="A171" s="376"/>
      <c r="B171" s="377"/>
      <c r="C171" s="376"/>
      <c r="D171" s="376"/>
      <c r="E171" s="376"/>
      <c r="F171" s="376"/>
      <c r="G171" s="376"/>
      <c r="H171" s="376"/>
      <c r="I171" s="376"/>
      <c r="J171" s="376"/>
      <c r="K171" s="376"/>
      <c r="L171" s="376"/>
      <c r="M171" s="376"/>
      <c r="N171" s="376"/>
      <c r="O171" s="376"/>
      <c r="P171" s="376"/>
      <c r="Q171" s="376"/>
      <c r="R171" s="376"/>
      <c r="S171" s="376"/>
      <c r="T171" s="376"/>
      <c r="U171" s="376"/>
      <c r="V171" s="376"/>
      <c r="W171" s="376"/>
      <c r="X171" s="376"/>
      <c r="Y171" s="376"/>
      <c r="Z171" s="376"/>
    </row>
    <row r="172" ht="15.75" customHeight="1" spans="1:26" x14ac:dyDescent="0.25">
      <c r="A172" s="376"/>
      <c r="B172" s="377"/>
      <c r="C172" s="376"/>
      <c r="D172" s="376"/>
      <c r="E172" s="376"/>
      <c r="F172" s="376"/>
      <c r="G172" s="376"/>
      <c r="H172" s="376"/>
      <c r="I172" s="376"/>
      <c r="J172" s="376"/>
      <c r="K172" s="376"/>
      <c r="L172" s="376"/>
      <c r="M172" s="376"/>
      <c r="N172" s="376"/>
      <c r="O172" s="376"/>
      <c r="P172" s="376"/>
      <c r="Q172" s="376"/>
      <c r="R172" s="376"/>
      <c r="S172" s="376"/>
      <c r="T172" s="376"/>
      <c r="U172" s="376"/>
      <c r="V172" s="376"/>
      <c r="W172" s="376"/>
      <c r="X172" s="376"/>
      <c r="Y172" s="376"/>
      <c r="Z172" s="376"/>
    </row>
    <row r="173" ht="15.75" customHeight="1" spans="1:26" x14ac:dyDescent="0.25">
      <c r="A173" s="376"/>
      <c r="B173" s="377"/>
      <c r="C173" s="376"/>
      <c r="D173" s="376"/>
      <c r="E173" s="376"/>
      <c r="F173" s="376"/>
      <c r="G173" s="376"/>
      <c r="H173" s="376"/>
      <c r="I173" s="376"/>
      <c r="J173" s="376"/>
      <c r="K173" s="376"/>
      <c r="L173" s="376"/>
      <c r="M173" s="376"/>
      <c r="N173" s="376"/>
      <c r="O173" s="376"/>
      <c r="P173" s="376"/>
      <c r="Q173" s="376"/>
      <c r="R173" s="376"/>
      <c r="S173" s="376"/>
      <c r="T173" s="376"/>
      <c r="U173" s="376"/>
      <c r="V173" s="376"/>
      <c r="W173" s="376"/>
      <c r="X173" s="376"/>
      <c r="Y173" s="376"/>
      <c r="Z173" s="376"/>
    </row>
    <row r="174" ht="15.75" customHeight="1" spans="1:26" x14ac:dyDescent="0.25">
      <c r="A174" s="376"/>
      <c r="B174" s="377"/>
      <c r="C174" s="376"/>
      <c r="D174" s="376"/>
      <c r="E174" s="376"/>
      <c r="F174" s="376"/>
      <c r="G174" s="376"/>
      <c r="H174" s="376"/>
      <c r="I174" s="376"/>
      <c r="J174" s="376"/>
      <c r="K174" s="376"/>
      <c r="L174" s="376"/>
      <c r="M174" s="376"/>
      <c r="N174" s="376"/>
      <c r="O174" s="376"/>
      <c r="P174" s="376"/>
      <c r="Q174" s="376"/>
      <c r="R174" s="376"/>
      <c r="S174" s="376"/>
      <c r="T174" s="376"/>
      <c r="U174" s="376"/>
      <c r="V174" s="376"/>
      <c r="W174" s="376"/>
      <c r="X174" s="376"/>
      <c r="Y174" s="376"/>
      <c r="Z174" s="376"/>
    </row>
    <row r="175" ht="15.75" customHeight="1" spans="1:26" x14ac:dyDescent="0.25">
      <c r="A175" s="376"/>
      <c r="B175" s="377"/>
      <c r="C175" s="376"/>
      <c r="D175" s="376"/>
      <c r="E175" s="376"/>
      <c r="F175" s="376"/>
      <c r="G175" s="376"/>
      <c r="H175" s="376"/>
      <c r="I175" s="376"/>
      <c r="J175" s="376"/>
      <c r="K175" s="376"/>
      <c r="L175" s="376"/>
      <c r="M175" s="376"/>
      <c r="N175" s="376"/>
      <c r="O175" s="376"/>
      <c r="P175" s="376"/>
      <c r="Q175" s="376"/>
      <c r="R175" s="376"/>
      <c r="S175" s="376"/>
      <c r="T175" s="376"/>
      <c r="U175" s="376"/>
      <c r="V175" s="376"/>
      <c r="W175" s="376"/>
      <c r="X175" s="376"/>
      <c r="Y175" s="376"/>
      <c r="Z175" s="376"/>
    </row>
    <row r="176" ht="15.75" customHeight="1" spans="1:26" x14ac:dyDescent="0.25">
      <c r="A176" s="376"/>
      <c r="B176" s="377"/>
      <c r="C176" s="376"/>
      <c r="D176" s="376"/>
      <c r="E176" s="376"/>
      <c r="F176" s="376"/>
      <c r="G176" s="376"/>
      <c r="H176" s="376"/>
      <c r="I176" s="376"/>
      <c r="J176" s="376"/>
      <c r="K176" s="376"/>
      <c r="L176" s="376"/>
      <c r="M176" s="376"/>
      <c r="N176" s="376"/>
      <c r="O176" s="376"/>
      <c r="P176" s="376"/>
      <c r="Q176" s="376"/>
      <c r="R176" s="376"/>
      <c r="S176" s="376"/>
      <c r="T176" s="376"/>
      <c r="U176" s="376"/>
      <c r="V176" s="376"/>
      <c r="W176" s="376"/>
      <c r="X176" s="376"/>
      <c r="Y176" s="376"/>
      <c r="Z176" s="376"/>
    </row>
    <row r="177" ht="15.75" customHeight="1" spans="1:26" x14ac:dyDescent="0.25">
      <c r="A177" s="376"/>
      <c r="B177" s="377"/>
      <c r="C177" s="376"/>
      <c r="D177" s="376"/>
      <c r="E177" s="376"/>
      <c r="F177" s="376"/>
      <c r="G177" s="376"/>
      <c r="H177" s="376"/>
      <c r="I177" s="376"/>
      <c r="J177" s="376"/>
      <c r="K177" s="376"/>
      <c r="L177" s="376"/>
      <c r="M177" s="376"/>
      <c r="N177" s="376"/>
      <c r="O177" s="376"/>
      <c r="P177" s="376"/>
      <c r="Q177" s="376"/>
      <c r="R177" s="376"/>
      <c r="S177" s="376"/>
      <c r="T177" s="376"/>
      <c r="U177" s="376"/>
      <c r="V177" s="376"/>
      <c r="W177" s="376"/>
      <c r="X177" s="376"/>
      <c r="Y177" s="376"/>
      <c r="Z177" s="376"/>
    </row>
    <row r="178" ht="15.75" customHeight="1" spans="1:26" x14ac:dyDescent="0.25">
      <c r="A178" s="376"/>
      <c r="B178" s="377"/>
      <c r="C178" s="376"/>
      <c r="D178" s="376"/>
      <c r="E178" s="376"/>
      <c r="F178" s="376"/>
      <c r="G178" s="376"/>
      <c r="H178" s="376"/>
      <c r="I178" s="376"/>
      <c r="J178" s="376"/>
      <c r="K178" s="376"/>
      <c r="L178" s="376"/>
      <c r="M178" s="376"/>
      <c r="N178" s="376"/>
      <c r="O178" s="376"/>
      <c r="P178" s="376"/>
      <c r="Q178" s="376"/>
      <c r="R178" s="376"/>
      <c r="S178" s="376"/>
      <c r="T178" s="376"/>
      <c r="U178" s="376"/>
      <c r="V178" s="376"/>
      <c r="W178" s="376"/>
      <c r="X178" s="376"/>
      <c r="Y178" s="376"/>
      <c r="Z178" s="376"/>
    </row>
    <row r="179" ht="15.75" customHeight="1" spans="1:26" x14ac:dyDescent="0.25">
      <c r="A179" s="376"/>
      <c r="B179" s="377"/>
      <c r="C179" s="376"/>
      <c r="D179" s="376"/>
      <c r="E179" s="376"/>
      <c r="F179" s="376"/>
      <c r="G179" s="376"/>
      <c r="H179" s="376"/>
      <c r="I179" s="376"/>
      <c r="J179" s="376"/>
      <c r="K179" s="376"/>
      <c r="L179" s="376"/>
      <c r="M179" s="376"/>
      <c r="N179" s="376"/>
      <c r="O179" s="376"/>
      <c r="P179" s="376"/>
      <c r="Q179" s="376"/>
      <c r="R179" s="376"/>
      <c r="S179" s="376"/>
      <c r="T179" s="376"/>
      <c r="U179" s="376"/>
      <c r="V179" s="376"/>
      <c r="W179" s="376"/>
      <c r="X179" s="376"/>
      <c r="Y179" s="376"/>
      <c r="Z179" s="376"/>
    </row>
    <row r="180" ht="15.75" customHeight="1" spans="1:26" x14ac:dyDescent="0.25">
      <c r="A180" s="376"/>
      <c r="B180" s="377"/>
      <c r="C180" s="376"/>
      <c r="D180" s="376"/>
      <c r="E180" s="376"/>
      <c r="F180" s="376"/>
      <c r="G180" s="376"/>
      <c r="H180" s="376"/>
      <c r="I180" s="376"/>
      <c r="J180" s="376"/>
      <c r="K180" s="376"/>
      <c r="L180" s="376"/>
      <c r="M180" s="376"/>
      <c r="N180" s="376"/>
      <c r="O180" s="376"/>
      <c r="P180" s="376"/>
      <c r="Q180" s="376"/>
      <c r="R180" s="376"/>
      <c r="S180" s="376"/>
      <c r="T180" s="376"/>
      <c r="U180" s="376"/>
      <c r="V180" s="376"/>
      <c r="W180" s="376"/>
      <c r="X180" s="376"/>
      <c r="Y180" s="376"/>
      <c r="Z180" s="376"/>
    </row>
    <row r="181" ht="15.75" customHeight="1" spans="1:26" x14ac:dyDescent="0.25">
      <c r="A181" s="376"/>
      <c r="B181" s="377"/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6"/>
      <c r="P181" s="376"/>
      <c r="Q181" s="376"/>
      <c r="R181" s="376"/>
      <c r="S181" s="376"/>
      <c r="T181" s="376"/>
      <c r="U181" s="376"/>
      <c r="V181" s="376"/>
      <c r="W181" s="376"/>
      <c r="X181" s="376"/>
      <c r="Y181" s="376"/>
      <c r="Z181" s="376"/>
    </row>
    <row r="182" ht="15.75" customHeight="1" spans="1:26" x14ac:dyDescent="0.25">
      <c r="A182" s="376"/>
      <c r="B182" s="377"/>
      <c r="C182" s="376"/>
      <c r="D182" s="376"/>
      <c r="E182" s="376"/>
      <c r="F182" s="376"/>
      <c r="G182" s="376"/>
      <c r="H182" s="376"/>
      <c r="I182" s="376"/>
      <c r="J182" s="376"/>
      <c r="K182" s="376"/>
      <c r="L182" s="376"/>
      <c r="M182" s="376"/>
      <c r="N182" s="376"/>
      <c r="O182" s="376"/>
      <c r="P182" s="376"/>
      <c r="Q182" s="376"/>
      <c r="R182" s="376"/>
      <c r="S182" s="376"/>
      <c r="T182" s="376"/>
      <c r="U182" s="376"/>
      <c r="V182" s="376"/>
      <c r="W182" s="376"/>
      <c r="X182" s="376"/>
      <c r="Y182" s="376"/>
      <c r="Z182" s="376"/>
    </row>
    <row r="183" ht="15.75" customHeight="1" spans="1:26" x14ac:dyDescent="0.25">
      <c r="A183" s="376"/>
      <c r="B183" s="377"/>
      <c r="C183" s="376"/>
      <c r="D183" s="376"/>
      <c r="E183" s="376"/>
      <c r="F183" s="376"/>
      <c r="G183" s="376"/>
      <c r="H183" s="376"/>
      <c r="I183" s="376"/>
      <c r="J183" s="376"/>
      <c r="K183" s="376"/>
      <c r="L183" s="376"/>
      <c r="M183" s="376"/>
      <c r="N183" s="376"/>
      <c r="O183" s="376"/>
      <c r="P183" s="376"/>
      <c r="Q183" s="376"/>
      <c r="R183" s="376"/>
      <c r="S183" s="376"/>
      <c r="T183" s="376"/>
      <c r="U183" s="376"/>
      <c r="V183" s="376"/>
      <c r="W183" s="376"/>
      <c r="X183" s="376"/>
      <c r="Y183" s="376"/>
      <c r="Z183" s="376"/>
    </row>
    <row r="184" ht="15.75" customHeight="1" spans="1:26" x14ac:dyDescent="0.25">
      <c r="A184" s="376"/>
      <c r="B184" s="377"/>
      <c r="C184" s="376"/>
      <c r="D184" s="376"/>
      <c r="E184" s="376"/>
      <c r="F184" s="376"/>
      <c r="G184" s="376"/>
      <c r="H184" s="376"/>
      <c r="I184" s="376"/>
      <c r="J184" s="376"/>
      <c r="K184" s="376"/>
      <c r="L184" s="376"/>
      <c r="M184" s="376"/>
      <c r="N184" s="376"/>
      <c r="O184" s="376"/>
      <c r="P184" s="376"/>
      <c r="Q184" s="376"/>
      <c r="R184" s="376"/>
      <c r="S184" s="376"/>
      <c r="T184" s="376"/>
      <c r="U184" s="376"/>
      <c r="V184" s="376"/>
      <c r="W184" s="376"/>
      <c r="X184" s="376"/>
      <c r="Y184" s="376"/>
      <c r="Z184" s="376"/>
    </row>
    <row r="185" ht="15.75" customHeight="1" spans="1:26" x14ac:dyDescent="0.25">
      <c r="A185" s="376"/>
      <c r="B185" s="377"/>
      <c r="C185" s="376"/>
      <c r="D185" s="376"/>
      <c r="E185" s="376"/>
      <c r="F185" s="376"/>
      <c r="G185" s="376"/>
      <c r="H185" s="376"/>
      <c r="I185" s="376"/>
      <c r="J185" s="376"/>
      <c r="K185" s="376"/>
      <c r="L185" s="376"/>
      <c r="M185" s="376"/>
      <c r="N185" s="376"/>
      <c r="O185" s="376"/>
      <c r="P185" s="376"/>
      <c r="Q185" s="376"/>
      <c r="R185" s="376"/>
      <c r="S185" s="376"/>
      <c r="T185" s="376"/>
      <c r="U185" s="376"/>
      <c r="V185" s="376"/>
      <c r="W185" s="376"/>
      <c r="X185" s="376"/>
      <c r="Y185" s="376"/>
      <c r="Z185" s="376"/>
    </row>
    <row r="186" ht="15.75" customHeight="1" spans="1:26" x14ac:dyDescent="0.25">
      <c r="A186" s="376"/>
      <c r="B186" s="377"/>
      <c r="C186" s="376"/>
      <c r="D186" s="376"/>
      <c r="E186" s="376"/>
      <c r="F186" s="376"/>
      <c r="G186" s="376"/>
      <c r="H186" s="376"/>
      <c r="I186" s="376"/>
      <c r="J186" s="376"/>
      <c r="K186" s="376"/>
      <c r="L186" s="376"/>
      <c r="M186" s="376"/>
      <c r="N186" s="376"/>
      <c r="O186" s="376"/>
      <c r="P186" s="376"/>
      <c r="Q186" s="376"/>
      <c r="R186" s="376"/>
      <c r="S186" s="376"/>
      <c r="T186" s="376"/>
      <c r="U186" s="376"/>
      <c r="V186" s="376"/>
      <c r="W186" s="376"/>
      <c r="X186" s="376"/>
      <c r="Y186" s="376"/>
      <c r="Z186" s="376"/>
    </row>
    <row r="187" ht="15.75" customHeight="1" spans="1:26" x14ac:dyDescent="0.25">
      <c r="A187" s="376"/>
      <c r="B187" s="377"/>
      <c r="C187" s="376"/>
      <c r="D187" s="376"/>
      <c r="E187" s="376"/>
      <c r="F187" s="376"/>
      <c r="G187" s="376"/>
      <c r="H187" s="376"/>
      <c r="I187" s="376"/>
      <c r="J187" s="376"/>
      <c r="K187" s="376"/>
      <c r="L187" s="376"/>
      <c r="M187" s="376"/>
      <c r="N187" s="376"/>
      <c r="O187" s="376"/>
      <c r="P187" s="376"/>
      <c r="Q187" s="376"/>
      <c r="R187" s="376"/>
      <c r="S187" s="376"/>
      <c r="T187" s="376"/>
      <c r="U187" s="376"/>
      <c r="V187" s="376"/>
      <c r="W187" s="376"/>
      <c r="X187" s="376"/>
      <c r="Y187" s="376"/>
      <c r="Z187" s="376"/>
    </row>
    <row r="188" ht="15.75" customHeight="1" spans="1:26" x14ac:dyDescent="0.25">
      <c r="A188" s="376"/>
      <c r="B188" s="377"/>
      <c r="C188" s="376"/>
      <c r="D188" s="376"/>
      <c r="E188" s="376"/>
      <c r="F188" s="376"/>
      <c r="G188" s="376"/>
      <c r="H188" s="376"/>
      <c r="I188" s="376"/>
      <c r="J188" s="376"/>
      <c r="K188" s="376"/>
      <c r="L188" s="376"/>
      <c r="M188" s="376"/>
      <c r="N188" s="376"/>
      <c r="O188" s="376"/>
      <c r="P188" s="376"/>
      <c r="Q188" s="376"/>
      <c r="R188" s="376"/>
      <c r="S188" s="376"/>
      <c r="T188" s="376"/>
      <c r="U188" s="376"/>
      <c r="V188" s="376"/>
      <c r="W188" s="376"/>
      <c r="X188" s="376"/>
      <c r="Y188" s="376"/>
      <c r="Z188" s="376"/>
    </row>
    <row r="189" ht="15.75" customHeight="1" spans="1:26" x14ac:dyDescent="0.25">
      <c r="A189" s="376"/>
      <c r="B189" s="377"/>
      <c r="C189" s="376"/>
      <c r="D189" s="376"/>
      <c r="E189" s="376"/>
      <c r="F189" s="376"/>
      <c r="G189" s="376"/>
      <c r="H189" s="376"/>
      <c r="I189" s="376"/>
      <c r="J189" s="376"/>
      <c r="K189" s="376"/>
      <c r="L189" s="376"/>
      <c r="M189" s="376"/>
      <c r="N189" s="376"/>
      <c r="O189" s="376"/>
      <c r="P189" s="376"/>
      <c r="Q189" s="376"/>
      <c r="R189" s="376"/>
      <c r="S189" s="376"/>
      <c r="T189" s="376"/>
      <c r="U189" s="376"/>
      <c r="V189" s="376"/>
      <c r="W189" s="376"/>
      <c r="X189" s="376"/>
      <c r="Y189" s="376"/>
      <c r="Z189" s="376"/>
    </row>
    <row r="190" ht="15.75" customHeight="1" spans="1:26" x14ac:dyDescent="0.25">
      <c r="A190" s="376"/>
      <c r="B190" s="377"/>
      <c r="C190" s="376"/>
      <c r="D190" s="376"/>
      <c r="E190" s="376"/>
      <c r="F190" s="376"/>
      <c r="G190" s="376"/>
      <c r="H190" s="376"/>
      <c r="I190" s="376"/>
      <c r="J190" s="376"/>
      <c r="K190" s="376"/>
      <c r="L190" s="376"/>
      <c r="M190" s="376"/>
      <c r="N190" s="376"/>
      <c r="O190" s="376"/>
      <c r="P190" s="376"/>
      <c r="Q190" s="376"/>
      <c r="R190" s="376"/>
      <c r="S190" s="376"/>
      <c r="T190" s="376"/>
      <c r="U190" s="376"/>
      <c r="V190" s="376"/>
      <c r="W190" s="376"/>
      <c r="X190" s="376"/>
      <c r="Y190" s="376"/>
      <c r="Z190" s="376"/>
    </row>
    <row r="191" ht="15.75" customHeight="1" spans="1:26" x14ac:dyDescent="0.25">
      <c r="A191" s="376"/>
      <c r="B191" s="377"/>
      <c r="C191" s="376"/>
      <c r="D191" s="376"/>
      <c r="E191" s="376"/>
      <c r="F191" s="376"/>
      <c r="G191" s="376"/>
      <c r="H191" s="376"/>
      <c r="I191" s="376"/>
      <c r="J191" s="376"/>
      <c r="K191" s="376"/>
      <c r="L191" s="376"/>
      <c r="M191" s="376"/>
      <c r="N191" s="376"/>
      <c r="O191" s="376"/>
      <c r="P191" s="376"/>
      <c r="Q191" s="376"/>
      <c r="R191" s="376"/>
      <c r="S191" s="376"/>
      <c r="T191" s="376"/>
      <c r="U191" s="376"/>
      <c r="V191" s="376"/>
      <c r="W191" s="376"/>
      <c r="X191" s="376"/>
      <c r="Y191" s="376"/>
      <c r="Z191" s="376"/>
    </row>
    <row r="192" ht="15.75" customHeight="1" spans="1:26" x14ac:dyDescent="0.25">
      <c r="A192" s="376"/>
      <c r="B192" s="377"/>
      <c r="C192" s="376"/>
      <c r="D192" s="376"/>
      <c r="E192" s="376"/>
      <c r="F192" s="376"/>
      <c r="G192" s="376"/>
      <c r="H192" s="376"/>
      <c r="I192" s="376"/>
      <c r="J192" s="376"/>
      <c r="K192" s="376"/>
      <c r="L192" s="376"/>
      <c r="M192" s="376"/>
      <c r="N192" s="376"/>
      <c r="O192" s="376"/>
      <c r="P192" s="376"/>
      <c r="Q192" s="376"/>
      <c r="R192" s="376"/>
      <c r="S192" s="376"/>
      <c r="T192" s="376"/>
      <c r="U192" s="376"/>
      <c r="V192" s="376"/>
      <c r="W192" s="376"/>
      <c r="X192" s="376"/>
      <c r="Y192" s="376"/>
      <c r="Z192" s="376"/>
    </row>
    <row r="193" ht="15.75" customHeight="1" spans="1:26" x14ac:dyDescent="0.25">
      <c r="A193" s="376"/>
      <c r="B193" s="377"/>
      <c r="C193" s="376"/>
      <c r="D193" s="376"/>
      <c r="E193" s="376"/>
      <c r="F193" s="376"/>
      <c r="G193" s="376"/>
      <c r="H193" s="376"/>
      <c r="I193" s="376"/>
      <c r="J193" s="376"/>
      <c r="K193" s="376"/>
      <c r="L193" s="376"/>
      <c r="M193" s="376"/>
      <c r="N193" s="376"/>
      <c r="O193" s="376"/>
      <c r="P193" s="376"/>
      <c r="Q193" s="376"/>
      <c r="R193" s="376"/>
      <c r="S193" s="376"/>
      <c r="T193" s="376"/>
      <c r="U193" s="376"/>
      <c r="V193" s="376"/>
      <c r="W193" s="376"/>
      <c r="X193" s="376"/>
      <c r="Y193" s="376"/>
      <c r="Z193" s="376"/>
    </row>
    <row r="194" ht="15.75" customHeight="1" spans="1:26" x14ac:dyDescent="0.25">
      <c r="A194" s="376"/>
      <c r="B194" s="377"/>
      <c r="C194" s="376"/>
      <c r="D194" s="376"/>
      <c r="E194" s="376"/>
      <c r="F194" s="376"/>
      <c r="G194" s="376"/>
      <c r="H194" s="376"/>
      <c r="I194" s="376"/>
      <c r="J194" s="376"/>
      <c r="K194" s="376"/>
      <c r="L194" s="376"/>
      <c r="M194" s="376"/>
      <c r="N194" s="376"/>
      <c r="O194" s="376"/>
      <c r="P194" s="376"/>
      <c r="Q194" s="376"/>
      <c r="R194" s="376"/>
      <c r="S194" s="376"/>
      <c r="T194" s="376"/>
      <c r="U194" s="376"/>
      <c r="V194" s="376"/>
      <c r="W194" s="376"/>
      <c r="X194" s="376"/>
      <c r="Y194" s="376"/>
      <c r="Z194" s="376"/>
    </row>
    <row r="195" ht="15.75" customHeight="1" spans="1:26" x14ac:dyDescent="0.25">
      <c r="A195" s="376"/>
      <c r="B195" s="377"/>
      <c r="C195" s="376"/>
      <c r="D195" s="376"/>
      <c r="E195" s="376"/>
      <c r="F195" s="376"/>
      <c r="G195" s="376"/>
      <c r="H195" s="376"/>
      <c r="I195" s="376"/>
      <c r="J195" s="376"/>
      <c r="K195" s="376"/>
      <c r="L195" s="376"/>
      <c r="M195" s="376"/>
      <c r="N195" s="376"/>
      <c r="O195" s="376"/>
      <c r="P195" s="376"/>
      <c r="Q195" s="376"/>
      <c r="R195" s="376"/>
      <c r="S195" s="376"/>
      <c r="T195" s="376"/>
      <c r="U195" s="376"/>
      <c r="V195" s="376"/>
      <c r="W195" s="376"/>
      <c r="X195" s="376"/>
      <c r="Y195" s="376"/>
      <c r="Z195" s="376"/>
    </row>
    <row r="196" ht="15.75" customHeight="1" spans="1:26" x14ac:dyDescent="0.25">
      <c r="A196" s="376"/>
      <c r="B196" s="377"/>
      <c r="C196" s="376"/>
      <c r="D196" s="376"/>
      <c r="E196" s="376"/>
      <c r="F196" s="376"/>
      <c r="G196" s="376"/>
      <c r="H196" s="376"/>
      <c r="I196" s="376"/>
      <c r="J196" s="376"/>
      <c r="K196" s="376"/>
      <c r="L196" s="376"/>
      <c r="M196" s="376"/>
      <c r="N196" s="376"/>
      <c r="O196" s="376"/>
      <c r="P196" s="376"/>
      <c r="Q196" s="376"/>
      <c r="R196" s="376"/>
      <c r="S196" s="376"/>
      <c r="T196" s="376"/>
      <c r="U196" s="376"/>
      <c r="V196" s="376"/>
      <c r="W196" s="376"/>
      <c r="X196" s="376"/>
      <c r="Y196" s="376"/>
      <c r="Z196" s="376"/>
    </row>
    <row r="197" ht="15.75" customHeight="1" spans="1:26" x14ac:dyDescent="0.25">
      <c r="A197" s="376"/>
      <c r="B197" s="377"/>
      <c r="C197" s="376"/>
      <c r="D197" s="376"/>
      <c r="E197" s="376"/>
      <c r="F197" s="376"/>
      <c r="G197" s="376"/>
      <c r="H197" s="376"/>
      <c r="I197" s="376"/>
      <c r="J197" s="376"/>
      <c r="K197" s="376"/>
      <c r="L197" s="376"/>
      <c r="M197" s="376"/>
      <c r="N197" s="376"/>
      <c r="O197" s="376"/>
      <c r="P197" s="376"/>
      <c r="Q197" s="376"/>
      <c r="R197" s="376"/>
      <c r="S197" s="376"/>
      <c r="T197" s="376"/>
      <c r="U197" s="376"/>
      <c r="V197" s="376"/>
      <c r="W197" s="376"/>
      <c r="X197" s="376"/>
      <c r="Y197" s="376"/>
      <c r="Z197" s="376"/>
    </row>
    <row r="198" ht="15.75" customHeight="1" spans="1:26" x14ac:dyDescent="0.25">
      <c r="A198" s="376"/>
      <c r="B198" s="377"/>
      <c r="C198" s="376"/>
      <c r="D198" s="376"/>
      <c r="E198" s="376"/>
      <c r="F198" s="376"/>
      <c r="G198" s="376"/>
      <c r="H198" s="376"/>
      <c r="I198" s="376"/>
      <c r="J198" s="376"/>
      <c r="K198" s="376"/>
      <c r="L198" s="376"/>
      <c r="M198" s="376"/>
      <c r="N198" s="376"/>
      <c r="O198" s="376"/>
      <c r="P198" s="376"/>
      <c r="Q198" s="376"/>
      <c r="R198" s="376"/>
      <c r="S198" s="376"/>
      <c r="T198" s="376"/>
      <c r="U198" s="376"/>
      <c r="V198" s="376"/>
      <c r="W198" s="376"/>
      <c r="X198" s="376"/>
      <c r="Y198" s="376"/>
      <c r="Z198" s="376"/>
    </row>
    <row r="199" ht="15.75" customHeight="1" spans="1:26" x14ac:dyDescent="0.25">
      <c r="A199" s="376"/>
      <c r="B199" s="377"/>
      <c r="C199" s="376"/>
      <c r="D199" s="376"/>
      <c r="E199" s="376"/>
      <c r="F199" s="376"/>
      <c r="G199" s="376"/>
      <c r="H199" s="376"/>
      <c r="I199" s="376"/>
      <c r="J199" s="376"/>
      <c r="K199" s="376"/>
      <c r="L199" s="376"/>
      <c r="M199" s="376"/>
      <c r="N199" s="376"/>
      <c r="O199" s="376"/>
      <c r="P199" s="376"/>
      <c r="Q199" s="376"/>
      <c r="R199" s="376"/>
      <c r="S199" s="376"/>
      <c r="T199" s="376"/>
      <c r="U199" s="376"/>
      <c r="V199" s="376"/>
      <c r="W199" s="376"/>
      <c r="X199" s="376"/>
      <c r="Y199" s="376"/>
      <c r="Z199" s="376"/>
    </row>
    <row r="200" ht="15.75" customHeight="1" spans="1:26" x14ac:dyDescent="0.25">
      <c r="A200" s="376"/>
      <c r="B200" s="377"/>
      <c r="C200" s="376"/>
      <c r="D200" s="376"/>
      <c r="E200" s="376"/>
      <c r="F200" s="376"/>
      <c r="G200" s="376"/>
      <c r="H200" s="376"/>
      <c r="I200" s="376"/>
      <c r="J200" s="376"/>
      <c r="K200" s="376"/>
      <c r="L200" s="376"/>
      <c r="M200" s="376"/>
      <c r="N200" s="376"/>
      <c r="O200" s="376"/>
      <c r="P200" s="376"/>
      <c r="Q200" s="376"/>
      <c r="R200" s="376"/>
      <c r="S200" s="376"/>
      <c r="T200" s="376"/>
      <c r="U200" s="376"/>
      <c r="V200" s="376"/>
      <c r="W200" s="376"/>
      <c r="X200" s="376"/>
      <c r="Y200" s="376"/>
      <c r="Z200" s="376"/>
    </row>
    <row r="201" ht="15.75" customHeight="1" spans="1:26" x14ac:dyDescent="0.25">
      <c r="A201" s="376"/>
      <c r="B201" s="377"/>
      <c r="C201" s="376"/>
      <c r="D201" s="376"/>
      <c r="E201" s="376"/>
      <c r="F201" s="376"/>
      <c r="G201" s="376"/>
      <c r="H201" s="376"/>
      <c r="I201" s="376"/>
      <c r="J201" s="376"/>
      <c r="K201" s="376"/>
      <c r="L201" s="376"/>
      <c r="M201" s="376"/>
      <c r="N201" s="376"/>
      <c r="O201" s="376"/>
      <c r="P201" s="376"/>
      <c r="Q201" s="376"/>
      <c r="R201" s="376"/>
      <c r="S201" s="376"/>
      <c r="T201" s="376"/>
      <c r="U201" s="376"/>
      <c r="V201" s="376"/>
      <c r="W201" s="376"/>
      <c r="X201" s="376"/>
      <c r="Y201" s="376"/>
      <c r="Z201" s="376"/>
    </row>
    <row r="202" ht="15.75" customHeight="1" spans="1:26" x14ac:dyDescent="0.25">
      <c r="A202" s="376"/>
      <c r="B202" s="377"/>
      <c r="C202" s="376"/>
      <c r="D202" s="376"/>
      <c r="E202" s="376"/>
      <c r="F202" s="376"/>
      <c r="G202" s="376"/>
      <c r="H202" s="376"/>
      <c r="I202" s="376"/>
      <c r="J202" s="376"/>
      <c r="K202" s="376"/>
      <c r="L202" s="376"/>
      <c r="M202" s="376"/>
      <c r="N202" s="376"/>
      <c r="O202" s="376"/>
      <c r="P202" s="376"/>
      <c r="Q202" s="376"/>
      <c r="R202" s="376"/>
      <c r="S202" s="376"/>
      <c r="T202" s="376"/>
      <c r="U202" s="376"/>
      <c r="V202" s="376"/>
      <c r="W202" s="376"/>
      <c r="X202" s="376"/>
      <c r="Y202" s="376"/>
      <c r="Z202" s="376"/>
    </row>
    <row r="203" ht="15.75" customHeight="1" spans="1:26" x14ac:dyDescent="0.25">
      <c r="A203" s="376"/>
      <c r="B203" s="377"/>
      <c r="C203" s="376"/>
      <c r="D203" s="376"/>
      <c r="E203" s="376"/>
      <c r="F203" s="376"/>
      <c r="G203" s="376"/>
      <c r="H203" s="376"/>
      <c r="I203" s="376"/>
      <c r="J203" s="376"/>
      <c r="K203" s="376"/>
      <c r="L203" s="376"/>
      <c r="M203" s="376"/>
      <c r="N203" s="376"/>
      <c r="O203" s="376"/>
      <c r="P203" s="376"/>
      <c r="Q203" s="376"/>
      <c r="R203" s="376"/>
      <c r="S203" s="376"/>
      <c r="T203" s="376"/>
      <c r="U203" s="376"/>
      <c r="V203" s="376"/>
      <c r="W203" s="376"/>
      <c r="X203" s="376"/>
      <c r="Y203" s="376"/>
      <c r="Z203" s="376"/>
    </row>
    <row r="204" ht="15.75" customHeight="1" spans="1:26" x14ac:dyDescent="0.25">
      <c r="A204" s="376"/>
      <c r="B204" s="377"/>
      <c r="C204" s="376"/>
      <c r="D204" s="376"/>
      <c r="E204" s="376"/>
      <c r="F204" s="376"/>
      <c r="G204" s="376"/>
      <c r="H204" s="376"/>
      <c r="I204" s="376"/>
      <c r="J204" s="376"/>
      <c r="K204" s="376"/>
      <c r="L204" s="376"/>
      <c r="M204" s="376"/>
      <c r="N204" s="376"/>
      <c r="O204" s="376"/>
      <c r="P204" s="376"/>
      <c r="Q204" s="376"/>
      <c r="R204" s="376"/>
      <c r="S204" s="376"/>
      <c r="T204" s="376"/>
      <c r="U204" s="376"/>
      <c r="V204" s="376"/>
      <c r="W204" s="376"/>
      <c r="X204" s="376"/>
      <c r="Y204" s="376"/>
      <c r="Z204" s="376"/>
    </row>
    <row r="205" ht="15.75" customHeight="1" spans="1:26" x14ac:dyDescent="0.25">
      <c r="A205" s="376"/>
      <c r="B205" s="377"/>
      <c r="C205" s="376"/>
      <c r="D205" s="376"/>
      <c r="E205" s="376"/>
      <c r="F205" s="376"/>
      <c r="G205" s="376"/>
      <c r="H205" s="376"/>
      <c r="I205" s="376"/>
      <c r="J205" s="376"/>
      <c r="K205" s="376"/>
      <c r="L205" s="376"/>
      <c r="M205" s="376"/>
      <c r="N205" s="376"/>
      <c r="O205" s="376"/>
      <c r="P205" s="376"/>
      <c r="Q205" s="376"/>
      <c r="R205" s="376"/>
      <c r="S205" s="376"/>
      <c r="T205" s="376"/>
      <c r="U205" s="376"/>
      <c r="V205" s="376"/>
      <c r="W205" s="376"/>
      <c r="X205" s="376"/>
      <c r="Y205" s="376"/>
      <c r="Z205" s="376"/>
    </row>
    <row r="206" ht="15.75" customHeight="1" spans="1:26" x14ac:dyDescent="0.25">
      <c r="A206" s="376"/>
      <c r="B206" s="377"/>
      <c r="C206" s="376"/>
      <c r="D206" s="376"/>
      <c r="E206" s="376"/>
      <c r="F206" s="376"/>
      <c r="G206" s="376"/>
      <c r="H206" s="376"/>
      <c r="I206" s="376"/>
      <c r="J206" s="376"/>
      <c r="K206" s="376"/>
      <c r="L206" s="376"/>
      <c r="M206" s="376"/>
      <c r="N206" s="376"/>
      <c r="O206" s="376"/>
      <c r="P206" s="376"/>
      <c r="Q206" s="376"/>
      <c r="R206" s="376"/>
      <c r="S206" s="376"/>
      <c r="T206" s="376"/>
      <c r="U206" s="376"/>
      <c r="V206" s="376"/>
      <c r="W206" s="376"/>
      <c r="X206" s="376"/>
      <c r="Y206" s="376"/>
      <c r="Z206" s="376"/>
    </row>
    <row r="207" ht="15.75" customHeight="1" spans="1:26" x14ac:dyDescent="0.25">
      <c r="A207" s="376"/>
      <c r="B207" s="377"/>
      <c r="C207" s="376"/>
      <c r="D207" s="376"/>
      <c r="E207" s="376"/>
      <c r="F207" s="376"/>
      <c r="G207" s="376"/>
      <c r="H207" s="376"/>
      <c r="I207" s="376"/>
      <c r="J207" s="376"/>
      <c r="K207" s="376"/>
      <c r="L207" s="376"/>
      <c r="M207" s="376"/>
      <c r="N207" s="376"/>
      <c r="O207" s="376"/>
      <c r="P207" s="376"/>
      <c r="Q207" s="376"/>
      <c r="R207" s="376"/>
      <c r="S207" s="376"/>
      <c r="T207" s="376"/>
      <c r="U207" s="376"/>
      <c r="V207" s="376"/>
      <c r="W207" s="376"/>
      <c r="X207" s="376"/>
      <c r="Y207" s="376"/>
      <c r="Z207" s="376"/>
    </row>
    <row r="208" ht="15.75" customHeight="1" spans="1:26" x14ac:dyDescent="0.25">
      <c r="A208" s="376"/>
      <c r="B208" s="377"/>
      <c r="C208" s="376"/>
      <c r="D208" s="376"/>
      <c r="E208" s="376"/>
      <c r="F208" s="376"/>
      <c r="G208" s="376"/>
      <c r="H208" s="376"/>
      <c r="I208" s="376"/>
      <c r="J208" s="376"/>
      <c r="K208" s="376"/>
      <c r="L208" s="376"/>
      <c r="M208" s="376"/>
      <c r="N208" s="376"/>
      <c r="O208" s="376"/>
      <c r="P208" s="376"/>
      <c r="Q208" s="376"/>
      <c r="R208" s="376"/>
      <c r="S208" s="376"/>
      <c r="T208" s="376"/>
      <c r="U208" s="376"/>
      <c r="V208" s="376"/>
      <c r="W208" s="376"/>
      <c r="X208" s="376"/>
      <c r="Y208" s="376"/>
      <c r="Z208" s="376"/>
    </row>
    <row r="209" ht="15.75" customHeight="1" spans="1:26" x14ac:dyDescent="0.25">
      <c r="A209" s="376"/>
      <c r="B209" s="377"/>
      <c r="C209" s="376"/>
      <c r="D209" s="376"/>
      <c r="E209" s="376"/>
      <c r="F209" s="376"/>
      <c r="G209" s="376"/>
      <c r="H209" s="376"/>
      <c r="I209" s="376"/>
      <c r="J209" s="376"/>
      <c r="K209" s="376"/>
      <c r="L209" s="376"/>
      <c r="M209" s="376"/>
      <c r="N209" s="376"/>
      <c r="O209" s="376"/>
      <c r="P209" s="376"/>
      <c r="Q209" s="376"/>
      <c r="R209" s="376"/>
      <c r="S209" s="376"/>
      <c r="T209" s="376"/>
      <c r="U209" s="376"/>
      <c r="V209" s="376"/>
      <c r="W209" s="376"/>
      <c r="X209" s="376"/>
      <c r="Y209" s="376"/>
      <c r="Z209" s="376"/>
    </row>
    <row r="210" ht="15.75" customHeight="1" spans="1:26" x14ac:dyDescent="0.25">
      <c r="A210" s="376"/>
      <c r="B210" s="377"/>
      <c r="C210" s="376"/>
      <c r="D210" s="376"/>
      <c r="E210" s="376"/>
      <c r="F210" s="376"/>
      <c r="G210" s="376"/>
      <c r="H210" s="376"/>
      <c r="I210" s="376"/>
      <c r="J210" s="376"/>
      <c r="K210" s="376"/>
      <c r="L210" s="376"/>
      <c r="M210" s="376"/>
      <c r="N210" s="376"/>
      <c r="O210" s="376"/>
      <c r="P210" s="376"/>
      <c r="Q210" s="376"/>
      <c r="R210" s="376"/>
      <c r="S210" s="376"/>
      <c r="T210" s="376"/>
      <c r="U210" s="376"/>
      <c r="V210" s="376"/>
      <c r="W210" s="376"/>
      <c r="X210" s="376"/>
      <c r="Y210" s="376"/>
      <c r="Z210" s="376"/>
    </row>
    <row r="211" ht="15.75" customHeight="1" spans="1:26" x14ac:dyDescent="0.25">
      <c r="A211" s="376"/>
      <c r="B211" s="377"/>
      <c r="C211" s="376"/>
      <c r="D211" s="376"/>
      <c r="E211" s="376"/>
      <c r="F211" s="376"/>
      <c r="G211" s="376"/>
      <c r="H211" s="376"/>
      <c r="I211" s="376"/>
      <c r="J211" s="376"/>
      <c r="K211" s="376"/>
      <c r="L211" s="376"/>
      <c r="M211" s="376"/>
      <c r="N211" s="376"/>
      <c r="O211" s="376"/>
      <c r="P211" s="376"/>
      <c r="Q211" s="376"/>
      <c r="R211" s="376"/>
      <c r="S211" s="376"/>
      <c r="T211" s="376"/>
      <c r="U211" s="376"/>
      <c r="V211" s="376"/>
      <c r="W211" s="376"/>
      <c r="X211" s="376"/>
      <c r="Y211" s="376"/>
      <c r="Z211" s="376"/>
    </row>
    <row r="212" ht="15.75" customHeight="1" spans="1:26" x14ac:dyDescent="0.25">
      <c r="A212" s="376"/>
      <c r="B212" s="377"/>
      <c r="C212" s="376"/>
      <c r="D212" s="376"/>
      <c r="E212" s="376"/>
      <c r="F212" s="376"/>
      <c r="G212" s="376"/>
      <c r="H212" s="376"/>
      <c r="I212" s="376"/>
      <c r="J212" s="376"/>
      <c r="K212" s="376"/>
      <c r="L212" s="376"/>
      <c r="M212" s="376"/>
      <c r="N212" s="376"/>
      <c r="O212" s="376"/>
      <c r="P212" s="376"/>
      <c r="Q212" s="376"/>
      <c r="R212" s="376"/>
      <c r="S212" s="376"/>
      <c r="T212" s="376"/>
      <c r="U212" s="376"/>
      <c r="V212" s="376"/>
      <c r="W212" s="376"/>
      <c r="X212" s="376"/>
      <c r="Y212" s="376"/>
      <c r="Z212" s="376"/>
    </row>
    <row r="213" ht="15.75" customHeight="1" spans="1:26" x14ac:dyDescent="0.25">
      <c r="A213" s="376"/>
      <c r="B213" s="377"/>
      <c r="C213" s="376"/>
      <c r="D213" s="376"/>
      <c r="E213" s="376"/>
      <c r="F213" s="376"/>
      <c r="G213" s="376"/>
      <c r="H213" s="376"/>
      <c r="I213" s="376"/>
      <c r="J213" s="376"/>
      <c r="K213" s="376"/>
      <c r="L213" s="376"/>
      <c r="M213" s="376"/>
      <c r="N213" s="376"/>
      <c r="O213" s="376"/>
      <c r="P213" s="376"/>
      <c r="Q213" s="376"/>
      <c r="R213" s="376"/>
      <c r="S213" s="376"/>
      <c r="T213" s="376"/>
      <c r="U213" s="376"/>
      <c r="V213" s="376"/>
      <c r="W213" s="376"/>
      <c r="X213" s="376"/>
      <c r="Y213" s="376"/>
      <c r="Z213" s="376"/>
    </row>
    <row r="214" ht="15.75" customHeight="1" spans="1:26" x14ac:dyDescent="0.25">
      <c r="A214" s="376"/>
      <c r="B214" s="377"/>
      <c r="C214" s="376"/>
      <c r="D214" s="376"/>
      <c r="E214" s="376"/>
      <c r="F214" s="376"/>
      <c r="G214" s="376"/>
      <c r="H214" s="376"/>
      <c r="I214" s="376"/>
      <c r="J214" s="376"/>
      <c r="K214" s="376"/>
      <c r="L214" s="376"/>
      <c r="M214" s="376"/>
      <c r="N214" s="376"/>
      <c r="O214" s="376"/>
      <c r="P214" s="376"/>
      <c r="Q214" s="376"/>
      <c r="R214" s="376"/>
      <c r="S214" s="376"/>
      <c r="T214" s="376"/>
      <c r="U214" s="376"/>
      <c r="V214" s="376"/>
      <c r="W214" s="376"/>
      <c r="X214" s="376"/>
      <c r="Y214" s="376"/>
      <c r="Z214" s="376"/>
    </row>
    <row r="215" ht="15.75" customHeight="1" spans="1:26" x14ac:dyDescent="0.25">
      <c r="A215" s="376"/>
      <c r="B215" s="377"/>
      <c r="C215" s="376"/>
      <c r="D215" s="376"/>
      <c r="E215" s="376"/>
      <c r="F215" s="376"/>
      <c r="G215" s="376"/>
      <c r="H215" s="376"/>
      <c r="I215" s="376"/>
      <c r="J215" s="376"/>
      <c r="K215" s="376"/>
      <c r="L215" s="376"/>
      <c r="M215" s="376"/>
      <c r="N215" s="376"/>
      <c r="O215" s="376"/>
      <c r="P215" s="376"/>
      <c r="Q215" s="376"/>
      <c r="R215" s="376"/>
      <c r="S215" s="376"/>
      <c r="T215" s="376"/>
      <c r="U215" s="376"/>
      <c r="V215" s="376"/>
      <c r="W215" s="376"/>
      <c r="X215" s="376"/>
      <c r="Y215" s="376"/>
      <c r="Z215" s="376"/>
    </row>
    <row r="216" ht="15.75" customHeight="1" spans="1:26" x14ac:dyDescent="0.25">
      <c r="A216" s="376"/>
      <c r="B216" s="377"/>
      <c r="C216" s="376"/>
      <c r="D216" s="376"/>
      <c r="E216" s="376"/>
      <c r="F216" s="376"/>
      <c r="G216" s="376"/>
      <c r="H216" s="376"/>
      <c r="I216" s="376"/>
      <c r="J216" s="376"/>
      <c r="K216" s="376"/>
      <c r="L216" s="376"/>
      <c r="M216" s="376"/>
      <c r="N216" s="376"/>
      <c r="O216" s="376"/>
      <c r="P216" s="376"/>
      <c r="Q216" s="376"/>
      <c r="R216" s="376"/>
      <c r="S216" s="376"/>
      <c r="T216" s="376"/>
      <c r="U216" s="376"/>
      <c r="V216" s="376"/>
      <c r="W216" s="376"/>
      <c r="X216" s="376"/>
      <c r="Y216" s="376"/>
      <c r="Z216" s="376"/>
    </row>
    <row r="217" ht="15.75" customHeight="1" spans="1:26" x14ac:dyDescent="0.25">
      <c r="A217" s="376"/>
      <c r="B217" s="377"/>
      <c r="C217" s="376"/>
      <c r="D217" s="376"/>
      <c r="E217" s="376"/>
      <c r="F217" s="376"/>
      <c r="G217" s="376"/>
      <c r="H217" s="376"/>
      <c r="I217" s="376"/>
      <c r="J217" s="376"/>
      <c r="K217" s="376"/>
      <c r="L217" s="376"/>
      <c r="M217" s="376"/>
      <c r="N217" s="376"/>
      <c r="O217" s="376"/>
      <c r="P217" s="376"/>
      <c r="Q217" s="376"/>
      <c r="R217" s="376"/>
      <c r="S217" s="376"/>
      <c r="T217" s="376"/>
      <c r="U217" s="376"/>
      <c r="V217" s="376"/>
      <c r="W217" s="376"/>
      <c r="X217" s="376"/>
      <c r="Y217" s="376"/>
      <c r="Z217" s="376"/>
    </row>
    <row r="218" ht="15.75" customHeight="1" spans="1:26" x14ac:dyDescent="0.25">
      <c r="A218" s="376"/>
      <c r="B218" s="377"/>
      <c r="C218" s="376"/>
      <c r="D218" s="376"/>
      <c r="E218" s="376"/>
      <c r="F218" s="376"/>
      <c r="G218" s="376"/>
      <c r="H218" s="376"/>
      <c r="I218" s="376"/>
      <c r="J218" s="376"/>
      <c r="K218" s="376"/>
      <c r="L218" s="376"/>
      <c r="M218" s="376"/>
      <c r="N218" s="376"/>
      <c r="O218" s="376"/>
      <c r="P218" s="376"/>
      <c r="Q218" s="376"/>
      <c r="R218" s="376"/>
      <c r="S218" s="376"/>
      <c r="T218" s="376"/>
      <c r="U218" s="376"/>
      <c r="V218" s="376"/>
      <c r="W218" s="376"/>
      <c r="X218" s="376"/>
      <c r="Y218" s="376"/>
      <c r="Z218" s="376"/>
    </row>
    <row r="219" ht="15.75" customHeight="1" spans="1:26" x14ac:dyDescent="0.25">
      <c r="A219" s="376"/>
      <c r="B219" s="377"/>
      <c r="C219" s="376"/>
      <c r="D219" s="376"/>
      <c r="E219" s="376"/>
      <c r="F219" s="376"/>
      <c r="G219" s="376"/>
      <c r="H219" s="376"/>
      <c r="I219" s="376"/>
      <c r="J219" s="376"/>
      <c r="K219" s="376"/>
      <c r="L219" s="376"/>
      <c r="M219" s="376"/>
      <c r="N219" s="376"/>
      <c r="O219" s="376"/>
      <c r="P219" s="376"/>
      <c r="Q219" s="376"/>
      <c r="R219" s="376"/>
      <c r="S219" s="376"/>
      <c r="T219" s="376"/>
      <c r="U219" s="376"/>
      <c r="V219" s="376"/>
      <c r="W219" s="376"/>
      <c r="X219" s="376"/>
      <c r="Y219" s="376"/>
      <c r="Z219" s="376"/>
    </row>
    <row r="220" ht="15.75" customHeight="1" spans="1:26" x14ac:dyDescent="0.25">
      <c r="A220" s="376"/>
      <c r="B220" s="377"/>
      <c r="C220" s="376"/>
      <c r="D220" s="376"/>
      <c r="E220" s="376"/>
      <c r="F220" s="376"/>
      <c r="G220" s="376"/>
      <c r="H220" s="376"/>
      <c r="I220" s="376"/>
      <c r="J220" s="376"/>
      <c r="K220" s="376"/>
      <c r="L220" s="376"/>
      <c r="M220" s="376"/>
      <c r="N220" s="376"/>
      <c r="O220" s="376"/>
      <c r="P220" s="376"/>
      <c r="Q220" s="376"/>
      <c r="R220" s="376"/>
      <c r="S220" s="376"/>
      <c r="T220" s="376"/>
      <c r="U220" s="376"/>
      <c r="V220" s="376"/>
      <c r="W220" s="376"/>
      <c r="X220" s="376"/>
      <c r="Y220" s="376"/>
      <c r="Z220" s="376"/>
    </row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2"/>
  <sheetViews>
    <sheetView workbookViewId="0" zoomScale="100" zoomScaleNormal="100">
      <selection activeCell="E5" sqref="E5"/>
    </sheetView>
  </sheetViews>
  <sheetFormatPr defaultRowHeight="15.75" outlineLevelRow="0" outlineLevelCol="0" x14ac:dyDescent="0" defaultColWidth="12.1640625" customHeight="1"/>
  <cols>
    <col min="1" max="16384" width="12.1640625" style="401" customWidth="1"/>
  </cols>
  <sheetData>
    <row r="1" ht="15.75" customHeight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3949.350000000001</v>
      </c>
    </row>
    <row r="2" ht="15.75" customHeight="1" spans="1:5" x14ac:dyDescent="0.25">
      <c r="A2" s="376" t="s">
        <v>964</v>
      </c>
      <c r="B2" s="377">
        <v>3100</v>
      </c>
      <c r="C2" s="376" t="s">
        <v>1078</v>
      </c>
      <c r="D2" s="36" t="s">
        <v>898</v>
      </c>
      <c r="E2" s="378">
        <v>5795</v>
      </c>
    </row>
    <row r="3" ht="15.75" customHeight="1" spans="1:5" x14ac:dyDescent="0.25">
      <c r="A3" s="376" t="s">
        <v>359</v>
      </c>
      <c r="B3" s="377">
        <v>322.8</v>
      </c>
      <c r="C3" s="376"/>
      <c r="D3" s="36" t="s">
        <v>900</v>
      </c>
      <c r="E3" s="378">
        <f>E2-E1</f>
        <v>1845.6499999999992</v>
      </c>
    </row>
    <row r="4" ht="15.75" customHeight="1" spans="1:2" x14ac:dyDescent="0.25">
      <c r="A4" s="402" t="s">
        <v>559</v>
      </c>
      <c r="B4" s="403">
        <v>33.3</v>
      </c>
    </row>
    <row r="5" ht="15.75" customHeight="1" spans="1:5" x14ac:dyDescent="0.25">
      <c r="A5" s="402" t="s">
        <v>864</v>
      </c>
      <c r="B5" s="403">
        <v>36.61</v>
      </c>
      <c r="E5" s="409"/>
    </row>
    <row r="6" ht="15.75" customHeight="1" spans="1:2" x14ac:dyDescent="0.25">
      <c r="A6" s="402" t="s">
        <v>1079</v>
      </c>
      <c r="B6" s="403">
        <v>3.8</v>
      </c>
    </row>
    <row r="7" ht="15.75" customHeight="1" spans="1:2" x14ac:dyDescent="0.25">
      <c r="A7" s="402" t="s">
        <v>920</v>
      </c>
      <c r="B7" s="403">
        <v>228</v>
      </c>
    </row>
    <row r="8" ht="15.75" customHeight="1" spans="1:2" x14ac:dyDescent="0.25">
      <c r="A8" s="402" t="s">
        <v>912</v>
      </c>
      <c r="B8" s="403">
        <v>7.38</v>
      </c>
    </row>
    <row r="9" ht="15.75" customHeight="1" spans="1:3" x14ac:dyDescent="0.25">
      <c r="A9" s="402" t="s">
        <v>909</v>
      </c>
      <c r="B9" s="403">
        <v>8</v>
      </c>
      <c r="C9" s="410" t="s">
        <v>599</v>
      </c>
    </row>
    <row r="10" ht="15.75" customHeight="1" spans="1:2" x14ac:dyDescent="0.25">
      <c r="A10" s="402" t="s">
        <v>1071</v>
      </c>
      <c r="B10" s="403">
        <v>21.07</v>
      </c>
    </row>
    <row r="11" ht="15.75" customHeight="1" spans="1:2" x14ac:dyDescent="0.25">
      <c r="A11" s="402" t="s">
        <v>143</v>
      </c>
      <c r="B11" s="403">
        <v>88.74</v>
      </c>
    </row>
    <row r="12" ht="15.75" customHeight="1" spans="1:2" x14ac:dyDescent="0.25">
      <c r="A12" s="402" t="s">
        <v>1080</v>
      </c>
      <c r="B12" s="403">
        <v>7.59</v>
      </c>
    </row>
    <row r="13" ht="15.75" customHeight="1" spans="1:2" x14ac:dyDescent="0.25">
      <c r="A13" s="402" t="s">
        <v>1071</v>
      </c>
      <c r="B13" s="403">
        <v>17.21</v>
      </c>
    </row>
    <row r="14" ht="15.75" customHeight="1" spans="1:2" x14ac:dyDescent="0.25">
      <c r="A14" s="402" t="s">
        <v>864</v>
      </c>
      <c r="B14" s="403">
        <v>44.85</v>
      </c>
    </row>
    <row r="15" ht="15.75" customHeight="1" spans="1:2" x14ac:dyDescent="0.25">
      <c r="A15" s="402" t="s">
        <v>1081</v>
      </c>
      <c r="B15" s="403">
        <v>30</v>
      </c>
    </row>
    <row r="16" ht="15.75" customHeight="1" spans="1:2" x14ac:dyDescent="0.25">
      <c r="A16" s="402"/>
      <c r="B16" s="403"/>
    </row>
    <row r="17" ht="15.75" customHeight="1" spans="1:2" x14ac:dyDescent="0.25">
      <c r="A17" s="402"/>
      <c r="B17" s="403"/>
    </row>
    <row r="18" ht="15.75" customHeight="1" spans="1:2" x14ac:dyDescent="0.25">
      <c r="A18" s="402"/>
      <c r="B18" s="403"/>
    </row>
    <row r="19" ht="15.75" customHeight="1" spans="1:2" x14ac:dyDescent="0.25">
      <c r="A19" s="402"/>
      <c r="B19" s="403"/>
    </row>
    <row r="20" ht="15.75" customHeight="1" spans="1:2" x14ac:dyDescent="0.25">
      <c r="A20" s="402"/>
      <c r="B20" s="403"/>
    </row>
    <row r="21" ht="15.75" customHeight="1" spans="1:2" x14ac:dyDescent="0.25">
      <c r="A21" s="402"/>
      <c r="B21" s="403"/>
    </row>
    <row r="22" ht="15.75" customHeight="1" spans="1:2" x14ac:dyDescent="0.25">
      <c r="A22" s="402"/>
      <c r="B22" s="403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5"/>
  <sheetViews>
    <sheetView workbookViewId="0" zoomScale="100" zoomScaleNormal="100">
      <selection activeCell="E3" sqref="E3"/>
    </sheetView>
  </sheetViews>
  <sheetFormatPr defaultRowHeight="15" outlineLevelRow="0" outlineLevelCol="0" x14ac:dyDescent="0" defaultColWidth="14.5"/>
  <cols>
    <col min="1" max="2" width="14.5" customWidth="1"/>
    <col min="3" max="3" width="18.83203125" customWidth="1"/>
    <col min="4" max="16384" width="14.5" customWidth="1"/>
  </cols>
  <sheetData>
    <row r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2243.3300000000004</v>
      </c>
    </row>
    <row r="2" spans="1:5" x14ac:dyDescent="0.25">
      <c r="A2" s="376" t="s">
        <v>964</v>
      </c>
      <c r="B2" s="377">
        <v>1400</v>
      </c>
      <c r="C2" s="376"/>
      <c r="D2" s="36" t="s">
        <v>898</v>
      </c>
      <c r="E2" s="378">
        <f>'Stock Data'!L92</f>
        <v>2989.66</v>
      </c>
    </row>
    <row r="3" spans="1:5" x14ac:dyDescent="0.25">
      <c r="A3" s="376" t="s">
        <v>359</v>
      </c>
      <c r="B3" s="377"/>
      <c r="C3" s="376"/>
      <c r="D3" s="36" t="s">
        <v>900</v>
      </c>
      <c r="E3" s="378">
        <f>E2-E1</f>
        <v>746.3299999999995</v>
      </c>
    </row>
    <row r="4" spans="1:2" x14ac:dyDescent="0.25">
      <c r="A4" s="381" t="s">
        <v>887</v>
      </c>
      <c r="B4" s="400">
        <v>250</v>
      </c>
    </row>
    <row r="5" spans="1:2" x14ac:dyDescent="0.25">
      <c r="A5" s="381" t="s">
        <v>1082</v>
      </c>
      <c r="B5" s="400">
        <v>360</v>
      </c>
    </row>
    <row r="6" spans="1:2" x14ac:dyDescent="0.25">
      <c r="A6" s="381" t="s">
        <v>573</v>
      </c>
      <c r="B6" s="400">
        <v>24.86</v>
      </c>
    </row>
    <row r="7" spans="1:2" x14ac:dyDescent="0.25">
      <c r="A7" s="381" t="s">
        <v>1083</v>
      </c>
      <c r="B7" s="400">
        <v>75.66</v>
      </c>
    </row>
    <row r="8" spans="1:2" x14ac:dyDescent="0.25">
      <c r="A8" s="381" t="s">
        <v>573</v>
      </c>
      <c r="B8" s="400">
        <v>16.17</v>
      </c>
    </row>
    <row r="9" spans="1:2" x14ac:dyDescent="0.25">
      <c r="A9" s="381" t="s">
        <v>864</v>
      </c>
      <c r="B9" s="400">
        <v>7.26</v>
      </c>
    </row>
    <row r="10" spans="1:2" x14ac:dyDescent="0.25">
      <c r="A10" s="381" t="s">
        <v>573</v>
      </c>
      <c r="B10" s="400">
        <v>24.1</v>
      </c>
    </row>
    <row r="11" spans="1:2" x14ac:dyDescent="0.25">
      <c r="A11" s="381" t="s">
        <v>765</v>
      </c>
      <c r="B11" s="400">
        <v>25</v>
      </c>
    </row>
    <row r="12" spans="1:2" x14ac:dyDescent="0.25">
      <c r="A12" s="381" t="s">
        <v>573</v>
      </c>
      <c r="B12" s="400">
        <v>20.28</v>
      </c>
    </row>
    <row r="13" spans="1:2" x14ac:dyDescent="0.25">
      <c r="A13" s="381" t="s">
        <v>870</v>
      </c>
      <c r="B13" s="400">
        <v>40</v>
      </c>
    </row>
    <row r="14" spans="1:2" x14ac:dyDescent="0.25">
      <c r="A14" s="381"/>
      <c r="B14" s="400"/>
    </row>
    <row r="15" spans="1:2" x14ac:dyDescent="0.25">
      <c r="A15" s="381"/>
      <c r="B15" s="400"/>
    </row>
    <row r="16" spans="1:2" x14ac:dyDescent="0.25">
      <c r="A16" s="381"/>
      <c r="B16" s="400"/>
    </row>
    <row r="17" spans="1:2" x14ac:dyDescent="0.25">
      <c r="A17" s="381"/>
      <c r="B17" s="400"/>
    </row>
    <row r="18" spans="1:2" x14ac:dyDescent="0.25">
      <c r="A18" s="381"/>
      <c r="B18" s="400"/>
    </row>
    <row r="19" spans="1:2" x14ac:dyDescent="0.25">
      <c r="A19" s="381"/>
      <c r="B19" s="400"/>
    </row>
    <row r="20" spans="1:2" x14ac:dyDescent="0.25">
      <c r="A20" s="381"/>
      <c r="B20" s="400"/>
    </row>
    <row r="21" spans="1:2" x14ac:dyDescent="0.25">
      <c r="A21" s="381"/>
      <c r="B21" s="400"/>
    </row>
    <row r="22" spans="1:2" x14ac:dyDescent="0.25">
      <c r="A22" s="381"/>
      <c r="B22" s="400"/>
    </row>
    <row r="23" spans="1:2" x14ac:dyDescent="0.25">
      <c r="A23" s="381"/>
      <c r="B23" s="400"/>
    </row>
    <row r="24" spans="1:2" x14ac:dyDescent="0.25">
      <c r="A24" s="381"/>
      <c r="B24" s="400"/>
    </row>
    <row r="25" spans="1:2" x14ac:dyDescent="0.25">
      <c r="A25" s="381"/>
      <c r="B25" s="400"/>
    </row>
    <row r="26" spans="1:2" x14ac:dyDescent="0.25">
      <c r="A26" s="381"/>
      <c r="B26" s="400"/>
    </row>
    <row r="27" spans="1:2" x14ac:dyDescent="0.25">
      <c r="A27" s="381"/>
      <c r="B27" s="400"/>
    </row>
    <row r="28" spans="1:2" x14ac:dyDescent="0.25">
      <c r="A28" s="381"/>
      <c r="B28" s="400"/>
    </row>
    <row r="29" spans="1:2" x14ac:dyDescent="0.25">
      <c r="A29" s="381"/>
      <c r="B29" s="400"/>
    </row>
    <row r="30" spans="1:2" x14ac:dyDescent="0.25">
      <c r="A30" s="381"/>
      <c r="B30" s="400"/>
    </row>
    <row r="31" spans="1:2" x14ac:dyDescent="0.25">
      <c r="A31" s="381"/>
      <c r="B31" s="400"/>
    </row>
    <row r="32" spans="2:2" x14ac:dyDescent="0.25">
      <c r="B32" s="400"/>
    </row>
    <row r="33" spans="2:2" x14ac:dyDescent="0.25">
      <c r="B33" s="400"/>
    </row>
    <row r="34" spans="2:2" x14ac:dyDescent="0.25">
      <c r="B34" s="400"/>
    </row>
    <row r="35" spans="2:2" x14ac:dyDescent="0.25">
      <c r="B35" s="400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5"/>
  <sheetViews>
    <sheetView workbookViewId="0" zoomScale="100" zoomScaleNormal="100">
      <selection activeCell="C13" sqref="C13"/>
    </sheetView>
  </sheetViews>
  <sheetFormatPr defaultRowHeight="15" outlineLevelRow="0" outlineLevelCol="0" x14ac:dyDescent="0" defaultColWidth="14.5"/>
  <cols>
    <col min="1" max="2" width="14.5" customWidth="1"/>
    <col min="3" max="3" width="18.83203125" customWidth="1"/>
    <col min="4" max="16384" width="14.5" customWidth="1"/>
  </cols>
  <sheetData>
    <row r="1" spans="1:5" x14ac:dyDescent="0.25">
      <c r="A1" s="376" t="s">
        <v>897</v>
      </c>
      <c r="B1" s="377" t="s">
        <v>548</v>
      </c>
      <c r="C1" s="376"/>
      <c r="D1" s="36" t="s">
        <v>28</v>
      </c>
      <c r="E1" s="378">
        <f>SUM(B:B)</f>
        <v>2386.8699999999994</v>
      </c>
    </row>
    <row r="2" spans="1:5" x14ac:dyDescent="0.25">
      <c r="A2" s="376" t="s">
        <v>964</v>
      </c>
      <c r="B2" s="377">
        <v>2000</v>
      </c>
      <c r="C2" s="376"/>
      <c r="D2" s="36" t="s">
        <v>898</v>
      </c>
      <c r="E2" s="378">
        <v>4695</v>
      </c>
    </row>
    <row r="3" spans="1:5" x14ac:dyDescent="0.25">
      <c r="A3" s="376" t="s">
        <v>864</v>
      </c>
      <c r="B3" s="377">
        <v>15.08</v>
      </c>
      <c r="C3" s="376"/>
      <c r="D3" s="36" t="s">
        <v>900</v>
      </c>
      <c r="E3" s="378">
        <f>E2-E1</f>
        <v>2308.1300000000006</v>
      </c>
    </row>
    <row r="4" spans="1:2" x14ac:dyDescent="0.25">
      <c r="A4" s="381" t="s">
        <v>573</v>
      </c>
      <c r="B4" s="377">
        <v>21.43</v>
      </c>
    </row>
    <row r="5" spans="1:2" x14ac:dyDescent="0.25">
      <c r="A5" s="381" t="s">
        <v>1084</v>
      </c>
      <c r="B5" s="377">
        <v>6.99</v>
      </c>
    </row>
    <row r="6" spans="1:2" x14ac:dyDescent="0.25">
      <c r="A6" s="376" t="s">
        <v>991</v>
      </c>
      <c r="B6" s="377">
        <v>10.02</v>
      </c>
    </row>
    <row r="7" spans="1:2" x14ac:dyDescent="0.25">
      <c r="A7" s="381" t="s">
        <v>765</v>
      </c>
      <c r="B7" s="377">
        <v>10</v>
      </c>
    </row>
    <row r="8" spans="1:2" x14ac:dyDescent="0.25">
      <c r="A8" s="381" t="s">
        <v>1085</v>
      </c>
      <c r="B8" s="377">
        <v>70.74</v>
      </c>
    </row>
    <row r="9" spans="1:2" x14ac:dyDescent="0.25">
      <c r="A9" s="376" t="s">
        <v>765</v>
      </c>
      <c r="B9" s="377">
        <v>25</v>
      </c>
    </row>
    <row r="10" spans="1:2" x14ac:dyDescent="0.25">
      <c r="A10" s="381" t="s">
        <v>573</v>
      </c>
      <c r="B10" s="377">
        <v>15.71</v>
      </c>
    </row>
    <row r="11" spans="1:2" x14ac:dyDescent="0.25">
      <c r="A11" s="381" t="s">
        <v>42</v>
      </c>
      <c r="B11" s="377">
        <v>69.95</v>
      </c>
    </row>
    <row r="12" spans="1:2" x14ac:dyDescent="0.25">
      <c r="A12" s="376" t="s">
        <v>1042</v>
      </c>
      <c r="B12" s="377">
        <v>9.95</v>
      </c>
    </row>
    <row r="13" spans="1:2" x14ac:dyDescent="0.25">
      <c r="A13" s="381" t="s">
        <v>1086</v>
      </c>
      <c r="B13" s="377">
        <v>132</v>
      </c>
    </row>
    <row r="14" spans="1:2" x14ac:dyDescent="0.25">
      <c r="A14" s="381"/>
      <c r="B14" s="377"/>
    </row>
    <row r="15" spans="1:2" x14ac:dyDescent="0.25">
      <c r="A15" s="376"/>
      <c r="B15" s="377"/>
    </row>
    <row r="16" spans="1:2" x14ac:dyDescent="0.25">
      <c r="A16" s="381"/>
      <c r="B16" s="377"/>
    </row>
    <row r="17" spans="1:2" x14ac:dyDescent="0.25">
      <c r="A17" s="381"/>
      <c r="B17" s="377"/>
    </row>
    <row r="18" spans="1:2" x14ac:dyDescent="0.25">
      <c r="A18" s="376"/>
      <c r="B18" s="377"/>
    </row>
    <row r="19" spans="1:2" x14ac:dyDescent="0.25">
      <c r="A19" s="381"/>
      <c r="B19" s="377"/>
    </row>
    <row r="20" spans="1:2" x14ac:dyDescent="0.25">
      <c r="A20" s="381"/>
      <c r="B20" s="377"/>
    </row>
    <row r="21" spans="1:2" x14ac:dyDescent="0.25">
      <c r="A21" s="376"/>
      <c r="B21" s="377"/>
    </row>
    <row r="22" spans="1:2" x14ac:dyDescent="0.25">
      <c r="A22" s="381"/>
      <c r="B22" s="377"/>
    </row>
    <row r="23" spans="1:2" x14ac:dyDescent="0.25">
      <c r="A23" s="381"/>
      <c r="B23" s="377"/>
    </row>
    <row r="24" spans="1:2" x14ac:dyDescent="0.25">
      <c r="A24" s="381"/>
      <c r="B24" s="377"/>
    </row>
    <row r="25" spans="1:2" x14ac:dyDescent="0.25">
      <c r="A25" s="381"/>
      <c r="B25" s="377"/>
    </row>
    <row r="26" spans="1:2" x14ac:dyDescent="0.25">
      <c r="A26" s="381"/>
      <c r="B26" s="377"/>
    </row>
    <row r="27" spans="1:2" x14ac:dyDescent="0.25">
      <c r="A27" s="381"/>
      <c r="B27" s="400"/>
    </row>
    <row r="28" spans="1:2" x14ac:dyDescent="0.25">
      <c r="A28" s="381"/>
      <c r="B28" s="400"/>
    </row>
    <row r="29" spans="1:2" x14ac:dyDescent="0.25">
      <c r="A29" s="381"/>
      <c r="B29" s="400"/>
    </row>
    <row r="30" spans="1:2" x14ac:dyDescent="0.25">
      <c r="A30" s="381"/>
      <c r="B30" s="400"/>
    </row>
    <row r="31" spans="1:2" x14ac:dyDescent="0.25">
      <c r="A31" s="381"/>
      <c r="B31" s="400"/>
    </row>
    <row r="32" spans="2:2" x14ac:dyDescent="0.25">
      <c r="B32" s="400"/>
    </row>
    <row r="33" spans="2:2" x14ac:dyDescent="0.25">
      <c r="B33" s="400"/>
    </row>
    <row r="34" spans="2:2" x14ac:dyDescent="0.25">
      <c r="B34" s="400"/>
    </row>
    <row r="35" spans="2:2" x14ac:dyDescent="0.25">
      <c r="B35" s="40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102</vt:i4>
      </vt:variant>
    </vt:vector>
  </HeadingPairs>
  <TitlesOfParts>
    <vt:vector size="102" baseType="lpstr">
      <vt:lpstr>Front Sheet</vt:lpstr>
      <vt:lpstr>Sold Stock</vt:lpstr>
      <vt:lpstr>Stock Data</vt:lpstr>
      <vt:lpstr>Collection</vt:lpstr>
      <vt:lpstr>Investor Budget</vt:lpstr>
      <vt:lpstr>SOR</vt:lpstr>
      <vt:lpstr>Investor Car Expense</vt:lpstr>
      <vt:lpstr>Expense</vt:lpstr>
      <vt:lpstr>Fuel Expense</vt:lpstr>
      <vt:lpstr>Money in</vt:lpstr>
      <vt:lpstr>Cash Spending</vt:lpstr>
      <vt:lpstr>Money Out</vt:lpstr>
      <vt:lpstr>Kia Sportage ML20 YZW</vt:lpstr>
      <vt:lpstr>520D M Sport RJ65 VVN</vt:lpstr>
      <vt:lpstr>520D Lux NG64 EOH</vt:lpstr>
      <vt:lpstr>A6 YY62 XJW</vt:lpstr>
      <vt:lpstr>A6 Allroad DL15 WDA </vt:lpstr>
      <vt:lpstr>A3 E-Tron KM64 XCX</vt:lpstr>
      <vt:lpstr>Audi A6 VE16 TNO</vt:lpstr>
      <vt:lpstr>CLA Estate YR16 XCB</vt:lpstr>
      <vt:lpstr>Smart X65 YJL</vt:lpstr>
      <vt:lpstr>Kuga EJ68 WVM</vt:lpstr>
      <vt:lpstr>LY18 ZDV A200D</vt:lpstr>
      <vt:lpstr>Merc C220D SE66 OFZ</vt:lpstr>
      <vt:lpstr>Mazda CX3 AY17 YWX</vt:lpstr>
      <vt:lpstr>Mazda 3 FY67 WDE</vt:lpstr>
      <vt:lpstr>CLA 200 WU66 MJX</vt:lpstr>
      <vt:lpstr>BMW 330E RX67 WPN</vt:lpstr>
      <vt:lpstr>CLA 220 KU67 PWY</vt:lpstr>
      <vt:lpstr>Audi A4 BG63 VYM</vt:lpstr>
      <vt:lpstr>520D CF15 OWA</vt:lpstr>
      <vt:lpstr>520D YK66 DWU</vt:lpstr>
      <vt:lpstr>Mazda CX5 EJ14 PTX</vt:lpstr>
      <vt:lpstr>520D SA14 SYO</vt:lpstr>
      <vt:lpstr>Q5 KM62 XFN</vt:lpstr>
      <vt:lpstr>Merc C200 HF64 PLZ</vt:lpstr>
      <vt:lpstr>A5 LJ13 UAC</vt:lpstr>
      <vt:lpstr>Golf R VX16 XJU</vt:lpstr>
      <vt:lpstr>Passat PL18 KLM</vt:lpstr>
      <vt:lpstr>A6 DN14 WEP</vt:lpstr>
      <vt:lpstr>C Class BJ64 OSE</vt:lpstr>
      <vt:lpstr>Mazda 6 WA13XCV</vt:lpstr>
      <vt:lpstr>POLO GTI BK61 SWZ</vt:lpstr>
      <vt:lpstr>GOLF RJ14 YZN</vt:lpstr>
      <vt:lpstr>CLA FV14 MYL</vt:lpstr>
      <vt:lpstr>Fiesta FN62HKO</vt:lpstr>
      <vt:lpstr>Polo GTI VK62 THV</vt:lpstr>
      <vt:lpstr>Corsa YY65 CAU</vt:lpstr>
      <vt:lpstr>P2008 LS66 SVA</vt:lpstr>
      <vt:lpstr>BMW 318D S88 RDF</vt:lpstr>
      <vt:lpstr>P3008 MF15 OPJ</vt:lpstr>
      <vt:lpstr>Audi A1 EN63 TKA </vt:lpstr>
      <vt:lpstr>A5 WJ62 UVS</vt:lpstr>
      <vt:lpstr>Fabia GN66 YWZ PX</vt:lpstr>
      <vt:lpstr>Mokka LS13 UKA</vt:lpstr>
      <vt:lpstr>BMW 328i YB61</vt:lpstr>
      <vt:lpstr>Peugeot 2008 EU14</vt:lpstr>
      <vt:lpstr>BMW 518D PG66</vt:lpstr>
      <vt:lpstr>Ford Mondeo DG68</vt:lpstr>
      <vt:lpstr>Smart Premium SR16 HKT</vt:lpstr>
      <vt:lpstr>BMW 120D PE65 LXZ</vt:lpstr>
      <vt:lpstr>Suzuki Swift YB68 XYT</vt:lpstr>
      <vt:lpstr>Octavia VRS GY14 BZC</vt:lpstr>
      <vt:lpstr>BMW 520D EJ14</vt:lpstr>
      <vt:lpstr>Mitsubishi DN16 YXF</vt:lpstr>
      <vt:lpstr>Fiat 500 LK15</vt:lpstr>
      <vt:lpstr>Audi A3 LG61 RTV</vt:lpstr>
      <vt:lpstr>Audi A7 OV61 WKH</vt:lpstr>
      <vt:lpstr>Fiat 500 LM64 FWU</vt:lpstr>
      <vt:lpstr>Polo GT CV65</vt:lpstr>
      <vt:lpstr>Nissan Note RV62 UMD</vt:lpstr>
      <vt:lpstr>BMW GT SV63 KKO</vt:lpstr>
      <vt:lpstr>BMW SX14 KKH</vt:lpstr>
      <vt:lpstr>Polo CY64 ACO</vt:lpstr>
      <vt:lpstr>Audi A3 HG08 EPZ</vt:lpstr>
      <vt:lpstr>Mazda 6</vt:lpstr>
      <vt:lpstr>Honda CRV KU13 FBF</vt:lpstr>
      <vt:lpstr>Audi A4 YB15GRU</vt:lpstr>
      <vt:lpstr>Polo MF14 TUH</vt:lpstr>
      <vt:lpstr>Jaguar XF OY61 UTH</vt:lpstr>
      <vt:lpstr>Peugot 107 LN11 </vt:lpstr>
      <vt:lpstr>Polo BlueGT CE65 MJJ</vt:lpstr>
      <vt:lpstr>Golf Match LR15 EUT</vt:lpstr>
      <vt:lpstr>Kuga VX15 DYU</vt:lpstr>
      <vt:lpstr>Fiat 500 CX14 PVO</vt:lpstr>
      <vt:lpstr>Fiat 500 YB65 XPP</vt:lpstr>
      <vt:lpstr>Audi S5 SP08 KLX </vt:lpstr>
      <vt:lpstr>Audi A5 ET65 BWO</vt:lpstr>
      <vt:lpstr>Nissan Juke PK64 LRL</vt:lpstr>
      <vt:lpstr>Fiat 500 WM63 XCE Grey</vt:lpstr>
      <vt:lpstr>Nissan Micra NL55 YXG</vt:lpstr>
      <vt:lpstr>Polo HG57</vt:lpstr>
      <vt:lpstr>Volkswagen Polo JFZ 1824</vt:lpstr>
      <vt:lpstr>Smart Fortwo YT63 ENJ (B)</vt:lpstr>
      <vt:lpstr>Nissan Qashqai KM17 YTV</vt:lpstr>
      <vt:lpstr>Audi A1 EJ11</vt:lpstr>
      <vt:lpstr>Audi A1 MF12</vt:lpstr>
      <vt:lpstr>Ford Fiesta EA65 NDL</vt:lpstr>
      <vt:lpstr>Nissan Navara WD63 NXU</vt:lpstr>
      <vt:lpstr>Ford Fiesta MK59 FUV</vt:lpstr>
      <vt:lpstr>Nissan Note HY10 RRO</vt:lpstr>
      <vt:lpstr>Fiat 500 DP64CXV White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Joseph</dc:creator>
  <cp:lastModifiedBy>Parham Heydari</cp:lastModifiedBy>
  <dcterms:created xsi:type="dcterms:W3CDTF">2015-06-05T18:19:34Z</dcterms:created>
  <dcterms:modified xsi:type="dcterms:W3CDTF">2026-04-13T00:33:26Z</dcterms:modified>
</cp:coreProperties>
</file>